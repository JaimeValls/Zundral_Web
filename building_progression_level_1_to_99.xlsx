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" sheetId="1" r:id="rId4"/>
    <sheet state="visible" name="Stone" sheetId="2" r:id="rId5"/>
    <sheet state="visible" name="Food" sheetId="3" r:id="rId6"/>
    <sheet state="visible" name="Warehouse" sheetId="4" r:id="rId7"/>
  </sheets>
  <definedNames/>
  <calcPr/>
  <extLst>
    <ext uri="GoogleSheetsCustomDataVersion2">
      <go:sheetsCustomData xmlns:go="http://customooxmlschemas.google.com/" r:id="rId8" roundtripDataChecksum="cHzGaItUeOTfLTnsnkgjqux9vDreM0ZfdQCNyubfmhI="/>
    </ext>
  </extLst>
</workbook>
</file>

<file path=xl/sharedStrings.xml><?xml version="1.0" encoding="utf-8"?>
<sst xmlns="http://schemas.openxmlformats.org/spreadsheetml/2006/main" count="64" uniqueCount="16">
  <si>
    <t>Production %</t>
  </si>
  <si>
    <t>Level</t>
  </si>
  <si>
    <t>Production/sec</t>
  </si>
  <si>
    <t>Capacity</t>
  </si>
  <si>
    <t>Time to Fill</t>
  </si>
  <si>
    <t>Step Cost Wood</t>
  </si>
  <si>
    <t>Step Cost Stone</t>
  </si>
  <si>
    <t>Next Level Wood</t>
  </si>
  <si>
    <t>Time Stone (s)</t>
  </si>
  <si>
    <t>TOTAL TIME</t>
  </si>
  <si>
    <t>Level Time (s)</t>
  </si>
  <si>
    <t>Cumulative Time (s)</t>
  </si>
  <si>
    <t>Upgrade Duration (s)</t>
  </si>
  <si>
    <t>Cap %</t>
  </si>
  <si>
    <t>Cost %</t>
  </si>
  <si>
    <t>Upgrade Duration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</si>
</sst>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color rgb="FFD9D9D9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color rgb="FFD9D9D9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DA283"/>
        <bgColor rgb="FFADA28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2" numFmtId="0" xfId="0" applyAlignment="1" applyBorder="1" applyFill="1" applyFont="1">
      <alignment horizontal="center" vertical="top"/>
    </xf>
    <xf borderId="1" fillId="0" fontId="1" numFmtId="2" xfId="0" applyAlignment="1" applyBorder="1" applyFont="1" applyNumberFormat="1">
      <alignment horizontal="center" readingOrder="0" vertical="top"/>
    </xf>
    <xf borderId="1" fillId="3" fontId="1" numFmtId="1" xfId="0" applyAlignment="1" applyBorder="1" applyFill="1" applyFont="1" applyNumberFormat="1">
      <alignment horizontal="center" vertical="top"/>
    </xf>
    <xf borderId="1" fillId="4" fontId="1" numFmtId="1" xfId="0" applyAlignment="1" applyBorder="1" applyFill="1" applyFont="1" applyNumberFormat="1">
      <alignment horizontal="center" vertical="top"/>
    </xf>
    <xf borderId="1" fillId="3" fontId="1" numFmtId="0" xfId="0" applyAlignment="1" applyBorder="1" applyFont="1">
      <alignment horizontal="center" readingOrder="0" vertical="top"/>
    </xf>
    <xf borderId="1" fillId="4" fontId="1" numFmtId="0" xfId="0" applyAlignment="1" applyBorder="1" applyFont="1">
      <alignment horizontal="center" vertical="top"/>
    </xf>
    <xf borderId="0" fillId="5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4" numFmtId="9" xfId="0" applyAlignment="1" applyFont="1" applyNumberFormat="1">
      <alignment readingOrder="0"/>
    </xf>
    <xf borderId="0" fillId="2" fontId="5" numFmtId="0" xfId="0" applyFont="1"/>
    <xf borderId="0" fillId="0" fontId="4" numFmtId="0" xfId="0" applyFon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3" fontId="4" numFmtId="1" xfId="0" applyAlignment="1" applyFont="1" applyNumberFormat="1">
      <alignment readingOrder="0"/>
    </xf>
    <xf borderId="0" fillId="4" fontId="4" numFmtId="1" xfId="0" applyAlignment="1" applyFont="1" applyNumberFormat="1">
      <alignment readingOrder="0"/>
    </xf>
    <xf borderId="0" fillId="3" fontId="4" numFmtId="1" xfId="0" applyFont="1" applyNumberFormat="1"/>
    <xf borderId="0" fillId="4" fontId="4" numFmtId="1" xfId="0" applyFont="1" applyNumberFormat="1"/>
    <xf borderId="0" fillId="0" fontId="6" numFmtId="0" xfId="0" applyFont="1"/>
    <xf borderId="0" fillId="0" fontId="4" numFmtId="0" xfId="0" applyAlignment="1" applyFont="1">
      <alignment readingOrder="0"/>
    </xf>
    <xf borderId="0" fillId="0" fontId="4" numFmtId="1" xfId="0" applyFont="1" applyNumberFormat="1"/>
    <xf borderId="0" fillId="3" fontId="4" numFmtId="0" xfId="0" applyFont="1"/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8.71"/>
    <col customWidth="1" min="3" max="3" width="15.71"/>
    <col customWidth="1" min="4" max="4" width="12.71"/>
    <col customWidth="1" min="5" max="5" width="14.86"/>
    <col customWidth="1" min="6" max="6" width="15.71"/>
    <col customWidth="1" min="7" max="7" width="15.0"/>
    <col customWidth="1" min="8" max="8" width="18.43"/>
    <col customWidth="1" min="9" max="9" width="15.43"/>
    <col customWidth="1" min="10" max="10" width="14.57"/>
    <col customWidth="1" min="11" max="11" width="8.71"/>
    <col customWidth="1" min="12" max="13" width="18.71"/>
    <col customWidth="1" min="14" max="14" width="8.71"/>
    <col customWidth="1" min="15" max="15" width="20.0"/>
    <col customWidth="1" min="16" max="18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L1" s="9" t="s">
        <v>10</v>
      </c>
      <c r="M1" s="10" t="s">
        <v>11</v>
      </c>
      <c r="O1" s="11" t="s">
        <v>12</v>
      </c>
    </row>
    <row r="2">
      <c r="A2" s="12">
        <v>1.25</v>
      </c>
      <c r="B2" s="13">
        <v>1.0</v>
      </c>
      <c r="C2" s="14">
        <v>1.0</v>
      </c>
      <c r="D2" s="15">
        <v>100.0</v>
      </c>
      <c r="E2" s="16" t="str">
        <f t="shared" ref="E2:E100" si="1">TEXT((D2/C2)/86400, "[h]"" h ""mm"" min ""ss"" s""")
</f>
        <v>0 h 01 min 40 s</v>
      </c>
      <c r="F2" s="17">
        <v>100.0</v>
      </c>
      <c r="G2" s="18">
        <v>100.0</v>
      </c>
      <c r="H2" s="19" t="str">
        <f t="shared" ref="H2:H100" si="3">TEXT((F2/C2)/86400, "[h]"" h ""mm"" min ""ss"" s""")
</f>
        <v>0 h 01 min 40 s</v>
      </c>
      <c r="I2" s="20" t="str">
        <f t="shared" ref="I2:I100" si="4">TEXT((G2/C2)/86400, "[h]"" h ""mm"" min ""ss"" s""")
</f>
        <v>0 h 01 min 40 s</v>
      </c>
      <c r="J2" s="14" t="str">
        <f t="shared" ref="J2:J31" si="5">TEXT((M2)/86400, "[h]"" h ""mm"" min ""ss"" s""")</f>
        <v>0 h 01 min 40 s</v>
      </c>
      <c r="L2" s="21">
        <f t="shared" ref="L2:L100" si="6">F2/C2</f>
        <v>100</v>
      </c>
      <c r="M2" s="21">
        <f>L2</f>
        <v>100</v>
      </c>
      <c r="O2" s="22">
        <v>3.0</v>
      </c>
    </row>
    <row r="3">
      <c r="B3" s="13">
        <v>2.0</v>
      </c>
      <c r="C3" s="16">
        <f t="shared" ref="C3:C100" si="7">C2*$A$2</f>
        <v>1.25</v>
      </c>
      <c r="D3" s="16">
        <f t="shared" ref="D3:D100" si="8">D2*$A$5</f>
        <v>130</v>
      </c>
      <c r="E3" s="16" t="str">
        <f t="shared" si="1"/>
        <v>0 h 01 min 44 s</v>
      </c>
      <c r="F3" s="19">
        <f t="shared" ref="F3:G3" si="2">F2*$A$8</f>
        <v>150</v>
      </c>
      <c r="G3" s="20">
        <f t="shared" si="2"/>
        <v>150</v>
      </c>
      <c r="H3" s="19" t="str">
        <f t="shared" si="3"/>
        <v>0 h 02 min 00 s</v>
      </c>
      <c r="I3" s="20" t="str">
        <f t="shared" si="4"/>
        <v>0 h 02 min 00 s</v>
      </c>
      <c r="J3" s="14" t="str">
        <f t="shared" si="5"/>
        <v>0 h 03 min 40 s</v>
      </c>
      <c r="L3" s="21">
        <f t="shared" si="6"/>
        <v>120</v>
      </c>
      <c r="M3" s="21">
        <f t="shared" ref="M3:M100" si="10">M2+L3</f>
        <v>220</v>
      </c>
      <c r="O3" s="23">
        <f t="shared" ref="O3:O100" si="11">O2*A$11</f>
        <v>4.5</v>
      </c>
    </row>
    <row r="4">
      <c r="A4" s="1" t="s">
        <v>13</v>
      </c>
      <c r="B4" s="13">
        <v>3.0</v>
      </c>
      <c r="C4" s="16">
        <f t="shared" si="7"/>
        <v>1.5625</v>
      </c>
      <c r="D4" s="16">
        <f t="shared" si="8"/>
        <v>169</v>
      </c>
      <c r="E4" s="16" t="str">
        <f t="shared" si="1"/>
        <v>0 h 01 min 48 s</v>
      </c>
      <c r="F4" s="19">
        <f t="shared" ref="F4:G4" si="9">F3*$A$8</f>
        <v>225</v>
      </c>
      <c r="G4" s="20">
        <f t="shared" si="9"/>
        <v>225</v>
      </c>
      <c r="H4" s="19" t="str">
        <f t="shared" si="3"/>
        <v>0 h 02 min 24 s</v>
      </c>
      <c r="I4" s="20" t="str">
        <f t="shared" si="4"/>
        <v>0 h 02 min 24 s</v>
      </c>
      <c r="J4" s="14" t="str">
        <f t="shared" si="5"/>
        <v>0 h 06 min 04 s</v>
      </c>
      <c r="L4" s="21">
        <f t="shared" si="6"/>
        <v>144</v>
      </c>
      <c r="M4" s="21">
        <f t="shared" si="10"/>
        <v>364</v>
      </c>
      <c r="O4" s="23">
        <f t="shared" si="11"/>
        <v>6.75</v>
      </c>
    </row>
    <row r="5">
      <c r="A5" s="12">
        <v>1.3</v>
      </c>
      <c r="B5" s="13">
        <v>4.0</v>
      </c>
      <c r="C5" s="16">
        <f t="shared" si="7"/>
        <v>1.953125</v>
      </c>
      <c r="D5" s="16">
        <f t="shared" si="8"/>
        <v>219.7</v>
      </c>
      <c r="E5" s="16" t="str">
        <f t="shared" si="1"/>
        <v>0 h 01 min 52 s</v>
      </c>
      <c r="F5" s="19">
        <f t="shared" ref="F5:G5" si="12">F4*$A$8</f>
        <v>337.5</v>
      </c>
      <c r="G5" s="20">
        <f t="shared" si="12"/>
        <v>337.5</v>
      </c>
      <c r="H5" s="19" t="str">
        <f t="shared" si="3"/>
        <v>0 h 02 min 53 s</v>
      </c>
      <c r="I5" s="20" t="str">
        <f t="shared" si="4"/>
        <v>0 h 02 min 53 s</v>
      </c>
      <c r="J5" s="14" t="str">
        <f t="shared" si="5"/>
        <v>0 h 08 min 57 s</v>
      </c>
      <c r="L5" s="21">
        <f t="shared" si="6"/>
        <v>172.8</v>
      </c>
      <c r="M5" s="21">
        <f t="shared" si="10"/>
        <v>536.8</v>
      </c>
      <c r="O5" s="23">
        <f t="shared" si="11"/>
        <v>10.125</v>
      </c>
    </row>
    <row r="6">
      <c r="B6" s="13">
        <v>5.0</v>
      </c>
      <c r="C6" s="16">
        <f t="shared" si="7"/>
        <v>2.44140625</v>
      </c>
      <c r="D6" s="16">
        <f t="shared" si="8"/>
        <v>285.61</v>
      </c>
      <c r="E6" s="16" t="str">
        <f t="shared" si="1"/>
        <v>0 h 01 min 57 s</v>
      </c>
      <c r="F6" s="19">
        <f t="shared" ref="F6:G6" si="13">F5*$A$8</f>
        <v>506.25</v>
      </c>
      <c r="G6" s="20">
        <f t="shared" si="13"/>
        <v>506.25</v>
      </c>
      <c r="H6" s="19" t="str">
        <f t="shared" si="3"/>
        <v>0 h 03 min 27 s</v>
      </c>
      <c r="I6" s="20" t="str">
        <f t="shared" si="4"/>
        <v>0 h 03 min 27 s</v>
      </c>
      <c r="J6" s="14" t="str">
        <f t="shared" si="5"/>
        <v>0 h 12 min 24 s</v>
      </c>
      <c r="L6" s="21">
        <f t="shared" si="6"/>
        <v>207.36</v>
      </c>
      <c r="M6" s="21">
        <f t="shared" si="10"/>
        <v>744.16</v>
      </c>
      <c r="O6" s="23">
        <f t="shared" si="11"/>
        <v>15.1875</v>
      </c>
    </row>
    <row r="7">
      <c r="A7" s="1" t="s">
        <v>14</v>
      </c>
      <c r="B7" s="13">
        <v>6.0</v>
      </c>
      <c r="C7" s="16">
        <f t="shared" si="7"/>
        <v>3.051757813</v>
      </c>
      <c r="D7" s="16">
        <f t="shared" si="8"/>
        <v>371.293</v>
      </c>
      <c r="E7" s="16" t="str">
        <f t="shared" si="1"/>
        <v>0 h 02 min 02 s</v>
      </c>
      <c r="F7" s="19">
        <f t="shared" ref="F7:G7" si="14">F6*$A$8</f>
        <v>759.375</v>
      </c>
      <c r="G7" s="20">
        <f t="shared" si="14"/>
        <v>759.375</v>
      </c>
      <c r="H7" s="19" t="str">
        <f t="shared" si="3"/>
        <v>0 h 04 min 09 s</v>
      </c>
      <c r="I7" s="20" t="str">
        <f t="shared" si="4"/>
        <v>0 h 04 min 09 s</v>
      </c>
      <c r="J7" s="14" t="str">
        <f t="shared" si="5"/>
        <v>0 h 16 min 33 s</v>
      </c>
      <c r="L7" s="21">
        <f t="shared" si="6"/>
        <v>248.832</v>
      </c>
      <c r="M7" s="21">
        <f t="shared" si="10"/>
        <v>992.992</v>
      </c>
      <c r="O7" s="23">
        <f t="shared" si="11"/>
        <v>22.78125</v>
      </c>
    </row>
    <row r="8">
      <c r="A8" s="12">
        <v>1.5</v>
      </c>
      <c r="B8" s="13">
        <v>7.0</v>
      </c>
      <c r="C8" s="16">
        <f t="shared" si="7"/>
        <v>3.814697266</v>
      </c>
      <c r="D8" s="16">
        <f t="shared" si="8"/>
        <v>482.6809</v>
      </c>
      <c r="E8" s="16" t="str">
        <f t="shared" si="1"/>
        <v>0 h 02 min 07 s</v>
      </c>
      <c r="F8" s="19">
        <f t="shared" ref="F8:G8" si="15">F7*$A$8</f>
        <v>1139.0625</v>
      </c>
      <c r="G8" s="20">
        <f t="shared" si="15"/>
        <v>1139.0625</v>
      </c>
      <c r="H8" s="19" t="str">
        <f t="shared" si="3"/>
        <v>0 h 04 min 59 s</v>
      </c>
      <c r="I8" s="20" t="str">
        <f t="shared" si="4"/>
        <v>0 h 04 min 59 s</v>
      </c>
      <c r="J8" s="14" t="str">
        <f t="shared" si="5"/>
        <v>0 h 21 min 32 s</v>
      </c>
      <c r="L8" s="21">
        <f t="shared" si="6"/>
        <v>298.5984</v>
      </c>
      <c r="M8" s="21">
        <f t="shared" si="10"/>
        <v>1291.5904</v>
      </c>
      <c r="O8" s="23">
        <f t="shared" si="11"/>
        <v>34.171875</v>
      </c>
    </row>
    <row r="9">
      <c r="B9" s="13">
        <v>8.0</v>
      </c>
      <c r="C9" s="16">
        <f t="shared" si="7"/>
        <v>4.768371582</v>
      </c>
      <c r="D9" s="16">
        <f t="shared" si="8"/>
        <v>627.48517</v>
      </c>
      <c r="E9" s="16" t="str">
        <f t="shared" si="1"/>
        <v>0 h 02 min 12 s</v>
      </c>
      <c r="F9" s="19">
        <f t="shared" ref="F9:G9" si="16">F8*$A$8</f>
        <v>1708.59375</v>
      </c>
      <c r="G9" s="20">
        <f t="shared" si="16"/>
        <v>1708.59375</v>
      </c>
      <c r="H9" s="19" t="str">
        <f t="shared" si="3"/>
        <v>0 h 05 min 58 s</v>
      </c>
      <c r="I9" s="20" t="str">
        <f t="shared" si="4"/>
        <v>0 h 05 min 58 s</v>
      </c>
      <c r="J9" s="14" t="str">
        <f t="shared" si="5"/>
        <v>0 h 27 min 30 s</v>
      </c>
      <c r="L9" s="21">
        <f t="shared" si="6"/>
        <v>358.31808</v>
      </c>
      <c r="M9" s="21">
        <f t="shared" si="10"/>
        <v>1649.90848</v>
      </c>
      <c r="O9" s="23">
        <f t="shared" si="11"/>
        <v>51.2578125</v>
      </c>
    </row>
    <row r="10">
      <c r="A10" s="1" t="s">
        <v>15</v>
      </c>
      <c r="B10" s="13">
        <v>9.0</v>
      </c>
      <c r="C10" s="16">
        <f t="shared" si="7"/>
        <v>5.960464478</v>
      </c>
      <c r="D10" s="16">
        <f t="shared" si="8"/>
        <v>815.730721</v>
      </c>
      <c r="E10" s="16" t="str">
        <f t="shared" si="1"/>
        <v>0 h 02 min 17 s</v>
      </c>
      <c r="F10" s="19">
        <f t="shared" ref="F10:G10" si="17">F9*$A$8</f>
        <v>2562.890625</v>
      </c>
      <c r="G10" s="20">
        <f t="shared" si="17"/>
        <v>2562.890625</v>
      </c>
      <c r="H10" s="19" t="str">
        <f t="shared" si="3"/>
        <v>0 h 07 min 10 s</v>
      </c>
      <c r="I10" s="20" t="str">
        <f t="shared" si="4"/>
        <v>0 h 07 min 10 s</v>
      </c>
      <c r="J10" s="14" t="str">
        <f t="shared" si="5"/>
        <v>0 h 34 min 40 s</v>
      </c>
      <c r="L10" s="21">
        <f t="shared" si="6"/>
        <v>429.981696</v>
      </c>
      <c r="M10" s="21">
        <f t="shared" si="10"/>
        <v>2079.890176</v>
      </c>
      <c r="O10" s="23">
        <f t="shared" si="11"/>
        <v>76.88671875</v>
      </c>
    </row>
    <row r="11">
      <c r="A11" s="12">
        <v>1.5</v>
      </c>
      <c r="B11" s="13">
        <v>10.0</v>
      </c>
      <c r="C11" s="16">
        <f t="shared" si="7"/>
        <v>7.450580597</v>
      </c>
      <c r="D11" s="16">
        <f t="shared" si="8"/>
        <v>1060.449937</v>
      </c>
      <c r="E11" s="16" t="str">
        <f t="shared" si="1"/>
        <v>0 h 02 min 22 s</v>
      </c>
      <c r="F11" s="19">
        <f t="shared" ref="F11:G11" si="18">F10*$A$8</f>
        <v>3844.335938</v>
      </c>
      <c r="G11" s="20">
        <f t="shared" si="18"/>
        <v>3844.335938</v>
      </c>
      <c r="H11" s="19" t="str">
        <f t="shared" si="3"/>
        <v>0 h 08 min 36 s</v>
      </c>
      <c r="I11" s="20" t="str">
        <f t="shared" si="4"/>
        <v>0 h 08 min 36 s</v>
      </c>
      <c r="J11" s="14" t="str">
        <f t="shared" si="5"/>
        <v>0 h 43 min 16 s</v>
      </c>
      <c r="L11" s="21">
        <f t="shared" si="6"/>
        <v>515.9780352</v>
      </c>
      <c r="M11" s="21">
        <f t="shared" si="10"/>
        <v>2595.868211</v>
      </c>
      <c r="O11" s="23">
        <f t="shared" si="11"/>
        <v>115.3300781</v>
      </c>
    </row>
    <row r="12">
      <c r="B12" s="13">
        <v>11.0</v>
      </c>
      <c r="C12" s="16">
        <f t="shared" si="7"/>
        <v>9.313225746</v>
      </c>
      <c r="D12" s="16">
        <f t="shared" si="8"/>
        <v>1378.584918</v>
      </c>
      <c r="E12" s="16" t="str">
        <f t="shared" si="1"/>
        <v>0 h 02 min 28 s</v>
      </c>
      <c r="F12" s="19">
        <f t="shared" ref="F12:G12" si="19">F11*$A$8</f>
        <v>5766.503906</v>
      </c>
      <c r="G12" s="20">
        <f t="shared" si="19"/>
        <v>5766.503906</v>
      </c>
      <c r="H12" s="19" t="str">
        <f t="shared" si="3"/>
        <v>0 h 10 min 19 s</v>
      </c>
      <c r="I12" s="20" t="str">
        <f t="shared" si="4"/>
        <v>0 h 10 min 19 s</v>
      </c>
      <c r="J12" s="14" t="str">
        <f t="shared" si="5"/>
        <v>0 h 53 min 35 s</v>
      </c>
      <c r="L12" s="21">
        <f t="shared" si="6"/>
        <v>619.1736422</v>
      </c>
      <c r="M12" s="21">
        <f t="shared" si="10"/>
        <v>3215.041853</v>
      </c>
      <c r="O12" s="23">
        <f t="shared" si="11"/>
        <v>172.9951172</v>
      </c>
    </row>
    <row r="13">
      <c r="B13" s="13">
        <v>12.0</v>
      </c>
      <c r="C13" s="16">
        <f t="shared" si="7"/>
        <v>11.64153218</v>
      </c>
      <c r="D13" s="16">
        <f t="shared" si="8"/>
        <v>1792.160394</v>
      </c>
      <c r="E13" s="16" t="str">
        <f t="shared" si="1"/>
        <v>0 h 02 min 34 s</v>
      </c>
      <c r="F13" s="19">
        <f t="shared" ref="F13:G13" si="20">F12*$A$8</f>
        <v>8649.755859</v>
      </c>
      <c r="G13" s="20">
        <f t="shared" si="20"/>
        <v>8649.755859</v>
      </c>
      <c r="H13" s="19" t="str">
        <f t="shared" si="3"/>
        <v>0 h 12 min 23 s</v>
      </c>
      <c r="I13" s="20" t="str">
        <f t="shared" si="4"/>
        <v>0 h 12 min 23 s</v>
      </c>
      <c r="J13" s="14" t="str">
        <f t="shared" si="5"/>
        <v>1 h 05 min 58 s</v>
      </c>
      <c r="L13" s="21">
        <f t="shared" si="6"/>
        <v>743.0083707</v>
      </c>
      <c r="M13" s="21">
        <f t="shared" si="10"/>
        <v>3958.050224</v>
      </c>
      <c r="O13" s="23">
        <f t="shared" si="11"/>
        <v>259.4926758</v>
      </c>
    </row>
    <row r="14">
      <c r="B14" s="13">
        <v>13.0</v>
      </c>
      <c r="C14" s="16">
        <f t="shared" si="7"/>
        <v>14.55191523</v>
      </c>
      <c r="D14" s="16">
        <f t="shared" si="8"/>
        <v>2329.808512</v>
      </c>
      <c r="E14" s="16" t="str">
        <f t="shared" si="1"/>
        <v>0 h 02 min 40 s</v>
      </c>
      <c r="F14" s="19">
        <f t="shared" ref="F14:G14" si="21">F13*$A$8</f>
        <v>12974.63379</v>
      </c>
      <c r="G14" s="20">
        <f t="shared" si="21"/>
        <v>12974.63379</v>
      </c>
      <c r="H14" s="19" t="str">
        <f t="shared" si="3"/>
        <v>0 h 14 min 52 s</v>
      </c>
      <c r="I14" s="20" t="str">
        <f t="shared" si="4"/>
        <v>0 h 14 min 52 s</v>
      </c>
      <c r="J14" s="14" t="str">
        <f t="shared" si="5"/>
        <v>1 h 20 min 50 s</v>
      </c>
      <c r="L14" s="21">
        <f t="shared" si="6"/>
        <v>891.6100448</v>
      </c>
      <c r="M14" s="21">
        <f t="shared" si="10"/>
        <v>4849.660269</v>
      </c>
      <c r="O14" s="23">
        <f t="shared" si="11"/>
        <v>389.2390137</v>
      </c>
    </row>
    <row r="15">
      <c r="B15" s="13">
        <v>14.0</v>
      </c>
      <c r="C15" s="16">
        <f t="shared" si="7"/>
        <v>18.18989404</v>
      </c>
      <c r="D15" s="16">
        <f t="shared" si="8"/>
        <v>3028.751066</v>
      </c>
      <c r="E15" s="16" t="str">
        <f t="shared" si="1"/>
        <v>0 h 02 min 47 s</v>
      </c>
      <c r="F15" s="19">
        <f t="shared" ref="F15:G15" si="22">F14*$A$8</f>
        <v>19461.95068</v>
      </c>
      <c r="G15" s="20">
        <f t="shared" si="22"/>
        <v>19461.95068</v>
      </c>
      <c r="H15" s="19" t="str">
        <f t="shared" si="3"/>
        <v>0 h 17 min 50 s</v>
      </c>
      <c r="I15" s="20" t="str">
        <f t="shared" si="4"/>
        <v>0 h 17 min 50 s</v>
      </c>
      <c r="J15" s="14" t="str">
        <f t="shared" si="5"/>
        <v>1 h 38 min 40 s</v>
      </c>
      <c r="L15" s="21">
        <f t="shared" si="6"/>
        <v>1069.932054</v>
      </c>
      <c r="M15" s="21">
        <f t="shared" si="10"/>
        <v>5919.592323</v>
      </c>
      <c r="O15" s="23">
        <f t="shared" si="11"/>
        <v>583.8585205</v>
      </c>
    </row>
    <row r="16">
      <c r="B16" s="13">
        <v>15.0</v>
      </c>
      <c r="C16" s="16">
        <f t="shared" si="7"/>
        <v>22.73736754</v>
      </c>
      <c r="D16" s="16">
        <f t="shared" si="8"/>
        <v>3937.376386</v>
      </c>
      <c r="E16" s="16" t="str">
        <f t="shared" si="1"/>
        <v>0 h 02 min 53 s</v>
      </c>
      <c r="F16" s="19">
        <f t="shared" ref="F16:G16" si="23">F15*$A$8</f>
        <v>29192.92603</v>
      </c>
      <c r="G16" s="20">
        <f t="shared" si="23"/>
        <v>29192.92603</v>
      </c>
      <c r="H16" s="19" t="str">
        <f t="shared" si="3"/>
        <v>0 h 21 min 24 s</v>
      </c>
      <c r="I16" s="20" t="str">
        <f t="shared" si="4"/>
        <v>0 h 21 min 24 s</v>
      </c>
      <c r="J16" s="14" t="str">
        <f t="shared" si="5"/>
        <v>2 h 00 min 04 s</v>
      </c>
      <c r="L16" s="21">
        <f t="shared" si="6"/>
        <v>1283.918465</v>
      </c>
      <c r="M16" s="21">
        <f t="shared" si="10"/>
        <v>7203.510787</v>
      </c>
      <c r="O16" s="23">
        <f t="shared" si="11"/>
        <v>875.7877808</v>
      </c>
    </row>
    <row r="17">
      <c r="B17" s="13">
        <v>16.0</v>
      </c>
      <c r="C17" s="16">
        <f t="shared" si="7"/>
        <v>28.42170943</v>
      </c>
      <c r="D17" s="16">
        <f t="shared" si="8"/>
        <v>5118.589301</v>
      </c>
      <c r="E17" s="16" t="str">
        <f t="shared" si="1"/>
        <v>0 h 03 min 00 s</v>
      </c>
      <c r="F17" s="19">
        <f t="shared" ref="F17:G17" si="24">F16*$A$8</f>
        <v>43789.38904</v>
      </c>
      <c r="G17" s="20">
        <f t="shared" si="24"/>
        <v>43789.38904</v>
      </c>
      <c r="H17" s="19" t="str">
        <f t="shared" si="3"/>
        <v>0 h 25 min 41 s</v>
      </c>
      <c r="I17" s="20" t="str">
        <f t="shared" si="4"/>
        <v>0 h 25 min 41 s</v>
      </c>
      <c r="J17" s="14" t="str">
        <f t="shared" si="5"/>
        <v>2 h 25 min 44 s</v>
      </c>
      <c r="L17" s="21">
        <f t="shared" si="6"/>
        <v>1540.702157</v>
      </c>
      <c r="M17" s="21">
        <f t="shared" si="10"/>
        <v>8744.212945</v>
      </c>
      <c r="O17" s="23">
        <f t="shared" si="11"/>
        <v>1313.681671</v>
      </c>
    </row>
    <row r="18">
      <c r="B18" s="13">
        <v>17.0</v>
      </c>
      <c r="C18" s="16">
        <f t="shared" si="7"/>
        <v>35.52713679</v>
      </c>
      <c r="D18" s="16">
        <f t="shared" si="8"/>
        <v>6654.166092</v>
      </c>
      <c r="E18" s="16" t="str">
        <f t="shared" si="1"/>
        <v>0 h 03 min 07 s</v>
      </c>
      <c r="F18" s="19">
        <f t="shared" ref="F18:G18" si="25">F17*$A$8</f>
        <v>65684.08356</v>
      </c>
      <c r="G18" s="20">
        <f t="shared" si="25"/>
        <v>65684.08356</v>
      </c>
      <c r="H18" s="19" t="str">
        <f t="shared" si="3"/>
        <v>0 h 30 min 49 s</v>
      </c>
      <c r="I18" s="20" t="str">
        <f t="shared" si="4"/>
        <v>0 h 30 min 49 s</v>
      </c>
      <c r="J18" s="14" t="str">
        <f t="shared" si="5"/>
        <v>2 h 56 min 33 s</v>
      </c>
      <c r="L18" s="21">
        <f t="shared" si="6"/>
        <v>1848.842589</v>
      </c>
      <c r="M18" s="21">
        <f t="shared" si="10"/>
        <v>10593.05553</v>
      </c>
      <c r="O18" s="23">
        <f t="shared" si="11"/>
        <v>1970.522507</v>
      </c>
    </row>
    <row r="19">
      <c r="B19" s="13">
        <v>18.0</v>
      </c>
      <c r="C19" s="16">
        <f t="shared" si="7"/>
        <v>44.40892099</v>
      </c>
      <c r="D19" s="16">
        <f t="shared" si="8"/>
        <v>8650.415919</v>
      </c>
      <c r="E19" s="16" t="str">
        <f t="shared" si="1"/>
        <v>0 h 03 min 15 s</v>
      </c>
      <c r="F19" s="19">
        <f t="shared" ref="F19:G19" si="26">F18*$A$8</f>
        <v>98526.12534</v>
      </c>
      <c r="G19" s="20">
        <f t="shared" si="26"/>
        <v>98526.12534</v>
      </c>
      <c r="H19" s="19" t="str">
        <f t="shared" si="3"/>
        <v>0 h 36 min 59 s</v>
      </c>
      <c r="I19" s="20" t="str">
        <f t="shared" si="4"/>
        <v>0 h 36 min 59 s</v>
      </c>
      <c r="J19" s="14" t="str">
        <f t="shared" si="5"/>
        <v>3 h 33 min 32 s</v>
      </c>
      <c r="L19" s="21">
        <f t="shared" si="6"/>
        <v>2218.611107</v>
      </c>
      <c r="M19" s="21">
        <f t="shared" si="10"/>
        <v>12811.66664</v>
      </c>
      <c r="O19" s="23">
        <f t="shared" si="11"/>
        <v>2955.78376</v>
      </c>
    </row>
    <row r="20">
      <c r="B20" s="13">
        <v>19.0</v>
      </c>
      <c r="C20" s="16">
        <f t="shared" si="7"/>
        <v>55.51115123</v>
      </c>
      <c r="D20" s="16">
        <f t="shared" si="8"/>
        <v>11245.5407</v>
      </c>
      <c r="E20" s="16" t="str">
        <f t="shared" si="1"/>
        <v>0 h 03 min 23 s</v>
      </c>
      <c r="F20" s="19">
        <f t="shared" ref="F20:G20" si="27">F19*$A$8</f>
        <v>147789.188</v>
      </c>
      <c r="G20" s="20">
        <f t="shared" si="27"/>
        <v>147789.188</v>
      </c>
      <c r="H20" s="19" t="str">
        <f t="shared" si="3"/>
        <v>0 h 44 min 22 s</v>
      </c>
      <c r="I20" s="20" t="str">
        <f t="shared" si="4"/>
        <v>0 h 44 min 22 s</v>
      </c>
      <c r="J20" s="14" t="str">
        <f t="shared" si="5"/>
        <v>4 h 17 min 54 s</v>
      </c>
      <c r="L20" s="21">
        <f t="shared" si="6"/>
        <v>2662.333328</v>
      </c>
      <c r="M20" s="21">
        <f t="shared" si="10"/>
        <v>15473.99997</v>
      </c>
      <c r="O20" s="23">
        <f t="shared" si="11"/>
        <v>4433.67564</v>
      </c>
    </row>
    <row r="21" ht="15.75" customHeight="1">
      <c r="B21" s="13">
        <v>20.0</v>
      </c>
      <c r="C21" s="16">
        <f t="shared" si="7"/>
        <v>69.38893904</v>
      </c>
      <c r="D21" s="16">
        <f t="shared" si="8"/>
        <v>14619.2029</v>
      </c>
      <c r="E21" s="16" t="str">
        <f t="shared" si="1"/>
        <v>0 h 03 min 31 s</v>
      </c>
      <c r="F21" s="19">
        <f t="shared" ref="F21:G21" si="28">F20*$A$8</f>
        <v>221683.782</v>
      </c>
      <c r="G21" s="20">
        <f t="shared" si="28"/>
        <v>221683.782</v>
      </c>
      <c r="H21" s="19" t="str">
        <f t="shared" si="3"/>
        <v>0 h 53 min 15 s</v>
      </c>
      <c r="I21" s="20" t="str">
        <f t="shared" si="4"/>
        <v>0 h 53 min 15 s</v>
      </c>
      <c r="J21" s="14" t="str">
        <f t="shared" si="5"/>
        <v>5 h 11 min 09 s</v>
      </c>
      <c r="L21" s="21">
        <f t="shared" si="6"/>
        <v>3194.799994</v>
      </c>
      <c r="M21" s="21">
        <f t="shared" si="10"/>
        <v>18668.79996</v>
      </c>
      <c r="O21" s="23">
        <f t="shared" si="11"/>
        <v>6650.51346</v>
      </c>
    </row>
    <row r="22" ht="15.75" customHeight="1">
      <c r="B22" s="13">
        <v>21.0</v>
      </c>
      <c r="C22" s="16">
        <f t="shared" si="7"/>
        <v>86.7361738</v>
      </c>
      <c r="D22" s="16">
        <f t="shared" si="8"/>
        <v>19004.96377</v>
      </c>
      <c r="E22" s="16" t="str">
        <f t="shared" si="1"/>
        <v>0 h 03 min 39 s</v>
      </c>
      <c r="F22" s="19">
        <f t="shared" ref="F22:G22" si="29">F21*$A$8</f>
        <v>332525.673</v>
      </c>
      <c r="G22" s="20">
        <f t="shared" si="29"/>
        <v>332525.673</v>
      </c>
      <c r="H22" s="19" t="str">
        <f t="shared" si="3"/>
        <v>1 h 03 min 54 s</v>
      </c>
      <c r="I22" s="20" t="str">
        <f t="shared" si="4"/>
        <v>1 h 03 min 54 s</v>
      </c>
      <c r="J22" s="14" t="str">
        <f t="shared" si="5"/>
        <v>6 h 15 min 03 s</v>
      </c>
      <c r="L22" s="21">
        <f t="shared" si="6"/>
        <v>3833.759992</v>
      </c>
      <c r="M22" s="21">
        <f t="shared" si="10"/>
        <v>22502.55995</v>
      </c>
      <c r="O22" s="23">
        <f t="shared" si="11"/>
        <v>9975.77019</v>
      </c>
    </row>
    <row r="23" ht="15.75" customHeight="1">
      <c r="B23" s="13">
        <v>22.0</v>
      </c>
      <c r="C23" s="16">
        <f t="shared" si="7"/>
        <v>108.4202172</v>
      </c>
      <c r="D23" s="16">
        <f t="shared" si="8"/>
        <v>24706.45291</v>
      </c>
      <c r="E23" s="16" t="str">
        <f t="shared" si="1"/>
        <v>0 h 03 min 48 s</v>
      </c>
      <c r="F23" s="19">
        <f t="shared" ref="F23:G23" si="30">F22*$A$8</f>
        <v>498788.5095</v>
      </c>
      <c r="G23" s="20">
        <f t="shared" si="30"/>
        <v>498788.5095</v>
      </c>
      <c r="H23" s="19" t="str">
        <f t="shared" si="3"/>
        <v>1 h 16 min 41 s</v>
      </c>
      <c r="I23" s="20" t="str">
        <f t="shared" si="4"/>
        <v>1 h 16 min 41 s</v>
      </c>
      <c r="J23" s="14" t="str">
        <f t="shared" si="5"/>
        <v>7 h 31 min 43 s</v>
      </c>
      <c r="L23" s="21">
        <f t="shared" si="6"/>
        <v>4600.511991</v>
      </c>
      <c r="M23" s="21">
        <f t="shared" si="10"/>
        <v>27103.07195</v>
      </c>
      <c r="O23" s="23">
        <f t="shared" si="11"/>
        <v>14963.65529</v>
      </c>
    </row>
    <row r="24" ht="15.75" customHeight="1">
      <c r="B24" s="13">
        <v>23.0</v>
      </c>
      <c r="C24" s="16">
        <f t="shared" si="7"/>
        <v>135.5252716</v>
      </c>
      <c r="D24" s="16">
        <f t="shared" si="8"/>
        <v>32118.38878</v>
      </c>
      <c r="E24" s="16" t="str">
        <f t="shared" si="1"/>
        <v>0 h 03 min 57 s</v>
      </c>
      <c r="F24" s="19">
        <f t="shared" ref="F24:G24" si="31">F23*$A$8</f>
        <v>748182.7643</v>
      </c>
      <c r="G24" s="20">
        <f t="shared" si="31"/>
        <v>748182.7643</v>
      </c>
      <c r="H24" s="19" t="str">
        <f t="shared" si="3"/>
        <v>1 h 32 min 01 s</v>
      </c>
      <c r="I24" s="20" t="str">
        <f t="shared" si="4"/>
        <v>1 h 32 min 01 s</v>
      </c>
      <c r="J24" s="14" t="str">
        <f t="shared" si="5"/>
        <v>9 h 03 min 44 s</v>
      </c>
      <c r="L24" s="21">
        <f t="shared" si="6"/>
        <v>5520.614389</v>
      </c>
      <c r="M24" s="21">
        <f t="shared" si="10"/>
        <v>32623.68633</v>
      </c>
      <c r="O24" s="23">
        <f t="shared" si="11"/>
        <v>22445.48293</v>
      </c>
    </row>
    <row r="25" ht="15.75" customHeight="1">
      <c r="B25" s="13">
        <v>24.0</v>
      </c>
      <c r="C25" s="16">
        <f t="shared" si="7"/>
        <v>169.4065895</v>
      </c>
      <c r="D25" s="16">
        <f t="shared" si="8"/>
        <v>41753.90541</v>
      </c>
      <c r="E25" s="16" t="str">
        <f t="shared" si="1"/>
        <v>0 h 04 min 06 s</v>
      </c>
      <c r="F25" s="19">
        <f t="shared" ref="F25:G25" si="32">F24*$A$8</f>
        <v>1122274.146</v>
      </c>
      <c r="G25" s="20">
        <f t="shared" si="32"/>
        <v>1122274.146</v>
      </c>
      <c r="H25" s="19" t="str">
        <f t="shared" si="3"/>
        <v>1 h 50 min 25 s</v>
      </c>
      <c r="I25" s="20" t="str">
        <f t="shared" si="4"/>
        <v>1 h 50 min 25 s</v>
      </c>
      <c r="J25" s="14" t="str">
        <f t="shared" si="5"/>
        <v>10 h 54 min 08 s</v>
      </c>
      <c r="L25" s="21">
        <f t="shared" si="6"/>
        <v>6624.737267</v>
      </c>
      <c r="M25" s="21">
        <f t="shared" si="10"/>
        <v>39248.4236</v>
      </c>
      <c r="O25" s="23">
        <f t="shared" si="11"/>
        <v>33668.22439</v>
      </c>
    </row>
    <row r="26" ht="15.75" customHeight="1">
      <c r="B26" s="13">
        <v>25.0</v>
      </c>
      <c r="C26" s="16">
        <f t="shared" si="7"/>
        <v>211.7582368</v>
      </c>
      <c r="D26" s="16">
        <f t="shared" si="8"/>
        <v>54280.07704</v>
      </c>
      <c r="E26" s="16" t="str">
        <f t="shared" si="1"/>
        <v>0 h 04 min 16 s</v>
      </c>
      <c r="F26" s="19">
        <f t="shared" ref="F26:G26" si="33">F25*$A$8</f>
        <v>1683411.22</v>
      </c>
      <c r="G26" s="20">
        <f t="shared" si="33"/>
        <v>1683411.22</v>
      </c>
      <c r="H26" s="19" t="str">
        <f t="shared" si="3"/>
        <v>2 h 12 min 30 s</v>
      </c>
      <c r="I26" s="20" t="str">
        <f t="shared" si="4"/>
        <v>2 h 12 min 30 s</v>
      </c>
      <c r="J26" s="14" t="str">
        <f t="shared" si="5"/>
        <v>13 h 06 min 38 s</v>
      </c>
      <c r="L26" s="21">
        <f t="shared" si="6"/>
        <v>7949.68472</v>
      </c>
      <c r="M26" s="21">
        <f t="shared" si="10"/>
        <v>47198.10832</v>
      </c>
      <c r="O26" s="23">
        <f t="shared" si="11"/>
        <v>50502.33659</v>
      </c>
    </row>
    <row r="27" ht="15.75" customHeight="1">
      <c r="B27" s="13">
        <v>26.0</v>
      </c>
      <c r="C27" s="16">
        <f t="shared" si="7"/>
        <v>264.697796</v>
      </c>
      <c r="D27" s="16">
        <f t="shared" si="8"/>
        <v>70564.10015</v>
      </c>
      <c r="E27" s="16" t="str">
        <f t="shared" si="1"/>
        <v>0 h 04 min 27 s</v>
      </c>
      <c r="F27" s="19">
        <f t="shared" ref="F27:G27" si="34">F26*$A$8</f>
        <v>2525116.829</v>
      </c>
      <c r="G27" s="20">
        <f t="shared" si="34"/>
        <v>2525116.829</v>
      </c>
      <c r="H27" s="19" t="str">
        <f t="shared" si="3"/>
        <v>2 h 39 min 00 s</v>
      </c>
      <c r="I27" s="20" t="str">
        <f t="shared" si="4"/>
        <v>2 h 39 min 00 s</v>
      </c>
      <c r="J27" s="14" t="str">
        <f t="shared" si="5"/>
        <v>15 h 45 min 38 s</v>
      </c>
      <c r="L27" s="21">
        <f t="shared" si="6"/>
        <v>9539.621664</v>
      </c>
      <c r="M27" s="21">
        <f t="shared" si="10"/>
        <v>56737.72999</v>
      </c>
      <c r="O27" s="23">
        <f t="shared" si="11"/>
        <v>75753.50488</v>
      </c>
    </row>
    <row r="28" ht="15.75" customHeight="1">
      <c r="B28" s="13">
        <v>27.0</v>
      </c>
      <c r="C28" s="16">
        <f t="shared" si="7"/>
        <v>330.872245</v>
      </c>
      <c r="D28" s="16">
        <f t="shared" si="8"/>
        <v>91733.33019</v>
      </c>
      <c r="E28" s="16" t="str">
        <f t="shared" si="1"/>
        <v>0 h 04 min 37 s</v>
      </c>
      <c r="F28" s="19">
        <f t="shared" ref="F28:G28" si="35">F27*$A$8</f>
        <v>3787675.244</v>
      </c>
      <c r="G28" s="20">
        <f t="shared" si="35"/>
        <v>3787675.244</v>
      </c>
      <c r="H28" s="19" t="str">
        <f t="shared" si="3"/>
        <v>3 h 10 min 48 s</v>
      </c>
      <c r="I28" s="20" t="str">
        <f t="shared" si="4"/>
        <v>3 h 10 min 48 s</v>
      </c>
      <c r="J28" s="14" t="str">
        <f t="shared" si="5"/>
        <v>18 h 56 min 25 s</v>
      </c>
      <c r="L28" s="21">
        <f t="shared" si="6"/>
        <v>11447.546</v>
      </c>
      <c r="M28" s="21">
        <f t="shared" si="10"/>
        <v>68185.27598</v>
      </c>
      <c r="O28" s="23">
        <f t="shared" si="11"/>
        <v>113630.2573</v>
      </c>
    </row>
    <row r="29" ht="15.75" customHeight="1">
      <c r="B29" s="13">
        <v>28.0</v>
      </c>
      <c r="C29" s="16">
        <f t="shared" si="7"/>
        <v>413.5903063</v>
      </c>
      <c r="D29" s="16">
        <f t="shared" si="8"/>
        <v>119253.3293</v>
      </c>
      <c r="E29" s="16" t="str">
        <f t="shared" si="1"/>
        <v>0 h 04 min 48 s</v>
      </c>
      <c r="F29" s="19">
        <f t="shared" ref="F29:G29" si="36">F28*$A$8</f>
        <v>5681512.866</v>
      </c>
      <c r="G29" s="20">
        <f t="shared" si="36"/>
        <v>5681512.866</v>
      </c>
      <c r="H29" s="19" t="str">
        <f t="shared" si="3"/>
        <v>3 h 48 min 57 s</v>
      </c>
      <c r="I29" s="20" t="str">
        <f t="shared" si="4"/>
        <v>3 h 48 min 57 s</v>
      </c>
      <c r="J29" s="14" t="str">
        <f t="shared" si="5"/>
        <v>22 h 45 min 22 s</v>
      </c>
      <c r="L29" s="21">
        <f t="shared" si="6"/>
        <v>13737.0552</v>
      </c>
      <c r="M29" s="21">
        <f t="shared" si="10"/>
        <v>81922.33118</v>
      </c>
      <c r="O29" s="23">
        <f t="shared" si="11"/>
        <v>170445.386</v>
      </c>
    </row>
    <row r="30" ht="15.75" customHeight="1">
      <c r="B30" s="13">
        <v>29.0</v>
      </c>
      <c r="C30" s="16">
        <f t="shared" si="7"/>
        <v>516.9878828</v>
      </c>
      <c r="D30" s="16">
        <f t="shared" si="8"/>
        <v>155029.328</v>
      </c>
      <c r="E30" s="16" t="str">
        <f t="shared" si="1"/>
        <v>0 h 05 min 00 s</v>
      </c>
      <c r="F30" s="19">
        <f t="shared" ref="F30:G30" si="37">F29*$A$8</f>
        <v>8522269.299</v>
      </c>
      <c r="G30" s="20">
        <f t="shared" si="37"/>
        <v>8522269.299</v>
      </c>
      <c r="H30" s="19" t="str">
        <f t="shared" si="3"/>
        <v>4 h 34 min 44 s</v>
      </c>
      <c r="I30" s="20" t="str">
        <f t="shared" si="4"/>
        <v>4 h 34 min 44 s</v>
      </c>
      <c r="J30" s="14" t="str">
        <f t="shared" si="5"/>
        <v>27 h 20 min 07 s</v>
      </c>
      <c r="L30" s="21">
        <f t="shared" si="6"/>
        <v>16484.46624</v>
      </c>
      <c r="M30" s="21">
        <f t="shared" si="10"/>
        <v>98406.79742</v>
      </c>
      <c r="O30" s="23">
        <f t="shared" si="11"/>
        <v>255668.079</v>
      </c>
    </row>
    <row r="31" ht="15.75" customHeight="1">
      <c r="B31" s="13">
        <v>30.0</v>
      </c>
      <c r="C31" s="16">
        <f t="shared" si="7"/>
        <v>646.2348536</v>
      </c>
      <c r="D31" s="16">
        <f t="shared" si="8"/>
        <v>201538.1264</v>
      </c>
      <c r="E31" s="16" t="str">
        <f t="shared" si="1"/>
        <v>0 h 05 min 12 s</v>
      </c>
      <c r="F31" s="19">
        <f t="shared" ref="F31:G31" si="38">F30*$A$8</f>
        <v>12783403.95</v>
      </c>
      <c r="G31" s="20">
        <f t="shared" si="38"/>
        <v>12783403.95</v>
      </c>
      <c r="H31" s="19" t="str">
        <f t="shared" si="3"/>
        <v>5 h 29 min 41 s</v>
      </c>
      <c r="I31" s="20" t="str">
        <f t="shared" si="4"/>
        <v>5 h 29 min 41 s</v>
      </c>
      <c r="J31" s="14" t="str">
        <f t="shared" si="5"/>
        <v>32 h 49 min 48 s</v>
      </c>
      <c r="L31" s="21">
        <f t="shared" si="6"/>
        <v>19781.35948</v>
      </c>
      <c r="M31" s="21">
        <f t="shared" si="10"/>
        <v>118188.1569</v>
      </c>
      <c r="O31" s="23">
        <f t="shared" si="11"/>
        <v>383502.1185</v>
      </c>
    </row>
    <row r="32" ht="15.75" customHeight="1">
      <c r="B32" s="13">
        <v>31.0</v>
      </c>
      <c r="C32" s="16">
        <f t="shared" si="7"/>
        <v>807.7935669</v>
      </c>
      <c r="D32" s="16">
        <f t="shared" si="8"/>
        <v>261999.5644</v>
      </c>
      <c r="E32" s="16" t="str">
        <f t="shared" si="1"/>
        <v>0 h 05 min 24 s</v>
      </c>
      <c r="F32" s="19">
        <f t="shared" ref="F32:G32" si="39">F31*$A$8</f>
        <v>19175105.92</v>
      </c>
      <c r="G32" s="20">
        <f t="shared" si="39"/>
        <v>19175105.92</v>
      </c>
      <c r="H32" s="19" t="str">
        <f t="shared" si="3"/>
        <v>6 h 35 min 38 s</v>
      </c>
      <c r="I32" s="20" t="str">
        <f t="shared" si="4"/>
        <v>6 h 35 min 38 s</v>
      </c>
      <c r="J32" s="14" t="str">
        <f t="shared" ref="J32:J100" si="41">INT(M32/86400) &amp; " d " &amp;
TEXT(MOD(M32,86400)/86400, "h"" h ""mm"" min ""ss"" s""")
</f>
        <v>1 d 15 h 25 min 26 s</v>
      </c>
      <c r="L32" s="21">
        <f t="shared" si="6"/>
        <v>23737.63138</v>
      </c>
      <c r="M32" s="21">
        <f t="shared" si="10"/>
        <v>141925.7883</v>
      </c>
      <c r="O32" s="23">
        <f t="shared" si="11"/>
        <v>575253.1777</v>
      </c>
    </row>
    <row r="33" ht="15.75" customHeight="1">
      <c r="B33" s="13">
        <v>32.0</v>
      </c>
      <c r="C33" s="16">
        <f t="shared" si="7"/>
        <v>1009.741959</v>
      </c>
      <c r="D33" s="16">
        <f t="shared" si="8"/>
        <v>340599.4337</v>
      </c>
      <c r="E33" s="16" t="str">
        <f t="shared" si="1"/>
        <v>0 h 05 min 37 s</v>
      </c>
      <c r="F33" s="19">
        <f t="shared" ref="F33:G33" si="40">F32*$A$8</f>
        <v>28762658.88</v>
      </c>
      <c r="G33" s="20">
        <f t="shared" si="40"/>
        <v>28762658.88</v>
      </c>
      <c r="H33" s="19" t="str">
        <f t="shared" si="3"/>
        <v>7 h 54 min 45 s</v>
      </c>
      <c r="I33" s="20" t="str">
        <f t="shared" si="4"/>
        <v>7 h 54 min 45 s</v>
      </c>
      <c r="J33" s="14" t="str">
        <f t="shared" si="41"/>
        <v>1 d 23 h 20 min 11 s</v>
      </c>
      <c r="L33" s="21">
        <f t="shared" si="6"/>
        <v>28485.15766</v>
      </c>
      <c r="M33" s="21">
        <f t="shared" si="10"/>
        <v>170410.9459</v>
      </c>
      <c r="O33" s="23">
        <f t="shared" si="11"/>
        <v>862879.7665</v>
      </c>
    </row>
    <row r="34" ht="15.75" customHeight="1">
      <c r="B34" s="13">
        <v>33.0</v>
      </c>
      <c r="C34" s="16">
        <f t="shared" si="7"/>
        <v>1262.177448</v>
      </c>
      <c r="D34" s="16">
        <f t="shared" si="8"/>
        <v>442779.2638</v>
      </c>
      <c r="E34" s="16" t="str">
        <f t="shared" si="1"/>
        <v>0 h 05 min 51 s</v>
      </c>
      <c r="F34" s="19">
        <f t="shared" ref="F34:G34" si="42">F33*$A$8</f>
        <v>43143988.33</v>
      </c>
      <c r="G34" s="20">
        <f t="shared" si="42"/>
        <v>43143988.33</v>
      </c>
      <c r="H34" s="19" t="str">
        <f t="shared" si="3"/>
        <v>9 h 29 min 42 s</v>
      </c>
      <c r="I34" s="20" t="str">
        <f t="shared" si="4"/>
        <v>9 h 29 min 42 s</v>
      </c>
      <c r="J34" s="14" t="str">
        <f t="shared" si="41"/>
        <v>2 d 8 h 49 min 53 s</v>
      </c>
      <c r="L34" s="21">
        <f t="shared" si="6"/>
        <v>34182.18919</v>
      </c>
      <c r="M34" s="21">
        <f t="shared" si="10"/>
        <v>204593.1351</v>
      </c>
      <c r="O34" s="23">
        <f t="shared" si="11"/>
        <v>1294319.65</v>
      </c>
    </row>
    <row r="35" ht="15.75" customHeight="1">
      <c r="B35" s="13">
        <v>34.0</v>
      </c>
      <c r="C35" s="16">
        <f t="shared" si="7"/>
        <v>1577.72181</v>
      </c>
      <c r="D35" s="16">
        <f t="shared" si="8"/>
        <v>575613.0429</v>
      </c>
      <c r="E35" s="16" t="str">
        <f t="shared" si="1"/>
        <v>0 h 06 min 05 s</v>
      </c>
      <c r="F35" s="19">
        <f t="shared" ref="F35:G35" si="43">F34*$A$8</f>
        <v>64715982.49</v>
      </c>
      <c r="G35" s="20">
        <f t="shared" si="43"/>
        <v>64715982.49</v>
      </c>
      <c r="H35" s="19" t="str">
        <f t="shared" si="3"/>
        <v>11 h 23 min 39 s</v>
      </c>
      <c r="I35" s="20" t="str">
        <f t="shared" si="4"/>
        <v>11 h 23 min 39 s</v>
      </c>
      <c r="J35" s="14" t="str">
        <f t="shared" si="41"/>
        <v>2 d 20 h 13 min 32 s</v>
      </c>
      <c r="L35" s="21">
        <f t="shared" si="6"/>
        <v>41018.62702</v>
      </c>
      <c r="M35" s="21">
        <f t="shared" si="10"/>
        <v>245611.7621</v>
      </c>
      <c r="O35" s="23">
        <f t="shared" si="11"/>
        <v>1941479.475</v>
      </c>
    </row>
    <row r="36" ht="15.75" customHeight="1">
      <c r="B36" s="13">
        <v>35.0</v>
      </c>
      <c r="C36" s="16">
        <f t="shared" si="7"/>
        <v>1972.152263</v>
      </c>
      <c r="D36" s="16">
        <f t="shared" si="8"/>
        <v>748296.9558</v>
      </c>
      <c r="E36" s="16" t="str">
        <f t="shared" si="1"/>
        <v>0 h 06 min 19 s</v>
      </c>
      <c r="F36" s="19">
        <f t="shared" ref="F36:G36" si="44">F35*$A$8</f>
        <v>97073973.74</v>
      </c>
      <c r="G36" s="20">
        <f t="shared" si="44"/>
        <v>97073973.74</v>
      </c>
      <c r="H36" s="19" t="str">
        <f t="shared" si="3"/>
        <v>13 h 40 min 22 s</v>
      </c>
      <c r="I36" s="20" t="str">
        <f t="shared" si="4"/>
        <v>13 h 40 min 22 s</v>
      </c>
      <c r="J36" s="14" t="str">
        <f t="shared" si="41"/>
        <v>3 d 9 h 53 min 54 s</v>
      </c>
      <c r="L36" s="21">
        <f t="shared" si="6"/>
        <v>49222.35243</v>
      </c>
      <c r="M36" s="21">
        <f t="shared" si="10"/>
        <v>294834.1146</v>
      </c>
      <c r="O36" s="23">
        <f t="shared" si="11"/>
        <v>2912219.212</v>
      </c>
    </row>
    <row r="37" ht="15.75" customHeight="1">
      <c r="B37" s="13">
        <v>36.0</v>
      </c>
      <c r="C37" s="16">
        <f t="shared" si="7"/>
        <v>2465.190329</v>
      </c>
      <c r="D37" s="16">
        <f t="shared" si="8"/>
        <v>972786.0425</v>
      </c>
      <c r="E37" s="16" t="str">
        <f t="shared" si="1"/>
        <v>0 h 06 min 35 s</v>
      </c>
      <c r="F37" s="19">
        <f t="shared" ref="F37:G37" si="45">F36*$A$8</f>
        <v>145610960.6</v>
      </c>
      <c r="G37" s="20">
        <f t="shared" si="45"/>
        <v>145610960.6</v>
      </c>
      <c r="H37" s="19" t="str">
        <f t="shared" si="3"/>
        <v>16 h 24 min 27 s</v>
      </c>
      <c r="I37" s="20" t="str">
        <f t="shared" si="4"/>
        <v>16 h 24 min 27 s</v>
      </c>
      <c r="J37" s="14" t="str">
        <f t="shared" si="41"/>
        <v>4 d 2 h 18 min 21 s</v>
      </c>
      <c r="L37" s="21">
        <f t="shared" si="6"/>
        <v>59066.82292</v>
      </c>
      <c r="M37" s="21">
        <f t="shared" si="10"/>
        <v>353900.9375</v>
      </c>
      <c r="O37" s="23">
        <f t="shared" si="11"/>
        <v>4368328.818</v>
      </c>
    </row>
    <row r="38" ht="15.75" customHeight="1">
      <c r="B38" s="13">
        <v>37.0</v>
      </c>
      <c r="C38" s="16">
        <f t="shared" si="7"/>
        <v>3081.487911</v>
      </c>
      <c r="D38" s="16">
        <f t="shared" si="8"/>
        <v>1264621.855</v>
      </c>
      <c r="E38" s="16" t="str">
        <f t="shared" si="1"/>
        <v>0 h 06 min 50 s</v>
      </c>
      <c r="F38" s="19">
        <f t="shared" ref="F38:G38" si="46">F37*$A$8</f>
        <v>218416440.9</v>
      </c>
      <c r="G38" s="20">
        <f t="shared" si="46"/>
        <v>218416440.9</v>
      </c>
      <c r="H38" s="19" t="str">
        <f t="shared" si="3"/>
        <v>19 h 41 min 20 s</v>
      </c>
      <c r="I38" s="20" t="str">
        <f t="shared" si="4"/>
        <v>19 h 41 min 20 s</v>
      </c>
      <c r="J38" s="14" t="str">
        <f t="shared" si="41"/>
        <v>4 d 21 h 59 min 41 s</v>
      </c>
      <c r="L38" s="21">
        <f t="shared" si="6"/>
        <v>70880.1875</v>
      </c>
      <c r="M38" s="21">
        <f t="shared" si="10"/>
        <v>424781.125</v>
      </c>
      <c r="O38" s="23">
        <f t="shared" si="11"/>
        <v>6552493.227</v>
      </c>
    </row>
    <row r="39" ht="15.75" customHeight="1">
      <c r="B39" s="13">
        <v>38.0</v>
      </c>
      <c r="C39" s="16">
        <f t="shared" si="7"/>
        <v>3851.859889</v>
      </c>
      <c r="D39" s="16">
        <f t="shared" si="8"/>
        <v>1644008.412</v>
      </c>
      <c r="E39" s="16" t="str">
        <f t="shared" si="1"/>
        <v>0 h 07 min 07 s</v>
      </c>
      <c r="F39" s="19">
        <f t="shared" ref="F39:G39" si="47">F38*$A$8</f>
        <v>327624661.4</v>
      </c>
      <c r="G39" s="20">
        <f t="shared" si="47"/>
        <v>327624661.4</v>
      </c>
      <c r="H39" s="19" t="str">
        <f t="shared" si="3"/>
        <v>23 h 37 min 36 s</v>
      </c>
      <c r="I39" s="20" t="str">
        <f t="shared" si="4"/>
        <v>23 h 37 min 36 s</v>
      </c>
      <c r="J39" s="14" t="str">
        <f t="shared" si="41"/>
        <v>5 d 21 h 37 min 17 s</v>
      </c>
      <c r="L39" s="21">
        <f t="shared" si="6"/>
        <v>85056.225</v>
      </c>
      <c r="M39" s="21">
        <f t="shared" si="10"/>
        <v>509837.35</v>
      </c>
      <c r="O39" s="23">
        <f t="shared" si="11"/>
        <v>9828739.841</v>
      </c>
    </row>
    <row r="40" ht="15.75" customHeight="1">
      <c r="B40" s="13">
        <v>39.0</v>
      </c>
      <c r="C40" s="16">
        <f t="shared" si="7"/>
        <v>4814.824861</v>
      </c>
      <c r="D40" s="16">
        <f t="shared" si="8"/>
        <v>2137210.935</v>
      </c>
      <c r="E40" s="16" t="str">
        <f t="shared" si="1"/>
        <v>0 h 07 min 24 s</v>
      </c>
      <c r="F40" s="19">
        <f t="shared" ref="F40:G40" si="48">F39*$A$8</f>
        <v>491436992</v>
      </c>
      <c r="G40" s="20">
        <f t="shared" si="48"/>
        <v>491436992</v>
      </c>
      <c r="H40" s="19" t="str">
        <f t="shared" si="3"/>
        <v>28 h 21 min 07 s</v>
      </c>
      <c r="I40" s="20" t="str">
        <f t="shared" si="4"/>
        <v>28 h 21 min 07 s</v>
      </c>
      <c r="J40" s="14" t="str">
        <f t="shared" si="41"/>
        <v>7 d 1 h 58 min 25 s</v>
      </c>
      <c r="L40" s="21">
        <f t="shared" si="6"/>
        <v>102067.47</v>
      </c>
      <c r="M40" s="21">
        <f t="shared" si="10"/>
        <v>611904.82</v>
      </c>
      <c r="O40" s="23">
        <f t="shared" si="11"/>
        <v>14743109.76</v>
      </c>
    </row>
    <row r="41" ht="15.75" customHeight="1">
      <c r="B41" s="13">
        <v>40.0</v>
      </c>
      <c r="C41" s="16">
        <f t="shared" si="7"/>
        <v>6018.531076</v>
      </c>
      <c r="D41" s="16">
        <f t="shared" si="8"/>
        <v>2778374.216</v>
      </c>
      <c r="E41" s="16" t="str">
        <f t="shared" si="1"/>
        <v>0 h 07 min 42 s</v>
      </c>
      <c r="F41" s="19">
        <f t="shared" ref="F41:G41" si="49">F40*$A$8</f>
        <v>737155488.1</v>
      </c>
      <c r="G41" s="20">
        <f t="shared" si="49"/>
        <v>737155488.1</v>
      </c>
      <c r="H41" s="19" t="str">
        <f t="shared" si="3"/>
        <v>34 h 01 min 21 s</v>
      </c>
      <c r="I41" s="20" t="str">
        <f t="shared" si="4"/>
        <v>34 h 01 min 21 s</v>
      </c>
      <c r="J41" s="14" t="str">
        <f t="shared" si="41"/>
        <v>8 d 11 h 59 min 46 s</v>
      </c>
      <c r="L41" s="21">
        <f t="shared" si="6"/>
        <v>122480.964</v>
      </c>
      <c r="M41" s="21">
        <f t="shared" si="10"/>
        <v>734385.784</v>
      </c>
      <c r="O41" s="23">
        <f t="shared" si="11"/>
        <v>22114664.64</v>
      </c>
    </row>
    <row r="42" ht="15.75" customHeight="1">
      <c r="B42" s="13">
        <v>41.0</v>
      </c>
      <c r="C42" s="16">
        <f t="shared" si="7"/>
        <v>7523.163845</v>
      </c>
      <c r="D42" s="16">
        <f t="shared" si="8"/>
        <v>3611886.481</v>
      </c>
      <c r="E42" s="16" t="str">
        <f t="shared" si="1"/>
        <v>0 h 08 min 00 s</v>
      </c>
      <c r="F42" s="19">
        <f t="shared" ref="F42:G42" si="50">F41*$A$8</f>
        <v>1105733232</v>
      </c>
      <c r="G42" s="20">
        <f t="shared" si="50"/>
        <v>1105733232</v>
      </c>
      <c r="H42" s="19" t="str">
        <f t="shared" si="3"/>
        <v>40 h 49 min 37 s</v>
      </c>
      <c r="I42" s="20" t="str">
        <f t="shared" si="4"/>
        <v>40 h 49 min 37 s</v>
      </c>
      <c r="J42" s="14" t="str">
        <f t="shared" si="41"/>
        <v>10 d 4 h 49 min 23 s</v>
      </c>
      <c r="L42" s="21">
        <f t="shared" si="6"/>
        <v>146977.1568</v>
      </c>
      <c r="M42" s="21">
        <f t="shared" si="10"/>
        <v>881362.9408</v>
      </c>
      <c r="O42" s="23">
        <f t="shared" si="11"/>
        <v>33171996.96</v>
      </c>
    </row>
    <row r="43" ht="15.75" customHeight="1">
      <c r="B43" s="13">
        <v>42.0</v>
      </c>
      <c r="C43" s="16">
        <f t="shared" si="7"/>
        <v>9403.954807</v>
      </c>
      <c r="D43" s="16">
        <f t="shared" si="8"/>
        <v>4695452.425</v>
      </c>
      <c r="E43" s="16" t="str">
        <f t="shared" si="1"/>
        <v>0 h 08 min 19 s</v>
      </c>
      <c r="F43" s="19">
        <f t="shared" ref="F43:G43" si="51">F42*$A$8</f>
        <v>1658599848</v>
      </c>
      <c r="G43" s="20">
        <f t="shared" si="51"/>
        <v>1658599848</v>
      </c>
      <c r="H43" s="19" t="str">
        <f t="shared" si="3"/>
        <v>48 h 59 min 33 s</v>
      </c>
      <c r="I43" s="20" t="str">
        <f t="shared" si="4"/>
        <v>48 h 59 min 33 s</v>
      </c>
      <c r="J43" s="14" t="str">
        <f t="shared" si="41"/>
        <v>12 d 5 h 48 min 56 s</v>
      </c>
      <c r="L43" s="21">
        <f t="shared" si="6"/>
        <v>176372.5882</v>
      </c>
      <c r="M43" s="21">
        <f t="shared" si="10"/>
        <v>1057735.529</v>
      </c>
      <c r="O43" s="23">
        <f t="shared" si="11"/>
        <v>49757995.44</v>
      </c>
    </row>
    <row r="44" ht="15.75" customHeight="1">
      <c r="B44" s="13">
        <v>43.0</v>
      </c>
      <c r="C44" s="16">
        <f t="shared" si="7"/>
        <v>11754.94351</v>
      </c>
      <c r="D44" s="16">
        <f t="shared" si="8"/>
        <v>6104088.153</v>
      </c>
      <c r="E44" s="16" t="str">
        <f t="shared" si="1"/>
        <v>0 h 08 min 39 s</v>
      </c>
      <c r="F44" s="19">
        <f t="shared" ref="F44:G44" si="52">F43*$A$8</f>
        <v>2487899772</v>
      </c>
      <c r="G44" s="20">
        <f t="shared" si="52"/>
        <v>2487899772</v>
      </c>
      <c r="H44" s="19" t="str">
        <f t="shared" si="3"/>
        <v>58 h 47 min 27 s</v>
      </c>
      <c r="I44" s="20" t="str">
        <f t="shared" si="4"/>
        <v>58 h 47 min 27 s</v>
      </c>
      <c r="J44" s="14" t="str">
        <f t="shared" si="41"/>
        <v>14 d 16 h 36 min 23 s</v>
      </c>
      <c r="L44" s="21">
        <f t="shared" si="6"/>
        <v>211647.1058</v>
      </c>
      <c r="M44" s="21">
        <f t="shared" si="10"/>
        <v>1269382.635</v>
      </c>
      <c r="O44" s="23">
        <f t="shared" si="11"/>
        <v>74636993.17</v>
      </c>
    </row>
    <row r="45" ht="15.75" customHeight="1">
      <c r="B45" s="13">
        <v>44.0</v>
      </c>
      <c r="C45" s="16">
        <f t="shared" si="7"/>
        <v>14693.67939</v>
      </c>
      <c r="D45" s="16">
        <f t="shared" si="8"/>
        <v>7935314.598</v>
      </c>
      <c r="E45" s="16" t="str">
        <f t="shared" si="1"/>
        <v>0 h 09 min 00 s</v>
      </c>
      <c r="F45" s="19">
        <f t="shared" ref="F45:G45" si="53">F44*$A$8</f>
        <v>3731849658</v>
      </c>
      <c r="G45" s="20">
        <f t="shared" si="53"/>
        <v>3731849658</v>
      </c>
      <c r="H45" s="19" t="str">
        <f t="shared" si="3"/>
        <v>70 h 32 min 57 s</v>
      </c>
      <c r="I45" s="20" t="str">
        <f t="shared" si="4"/>
        <v>70 h 32 min 57 s</v>
      </c>
      <c r="J45" s="14" t="str">
        <f t="shared" si="41"/>
        <v>17 d 15 h 09 min 19 s</v>
      </c>
      <c r="L45" s="21">
        <f t="shared" si="6"/>
        <v>253976.5269</v>
      </c>
      <c r="M45" s="21">
        <f t="shared" si="10"/>
        <v>1523359.162</v>
      </c>
      <c r="O45" s="23">
        <f t="shared" si="11"/>
        <v>111955489.7</v>
      </c>
    </row>
    <row r="46" ht="15.75" customHeight="1">
      <c r="B46" s="13">
        <v>45.0</v>
      </c>
      <c r="C46" s="16">
        <f t="shared" si="7"/>
        <v>18367.09923</v>
      </c>
      <c r="D46" s="16">
        <f t="shared" si="8"/>
        <v>10315908.98</v>
      </c>
      <c r="E46" s="16" t="str">
        <f t="shared" si="1"/>
        <v>0 h 09 min 22 s</v>
      </c>
      <c r="F46" s="19">
        <f t="shared" ref="F46:G46" si="54">F45*$A$8</f>
        <v>5597774487</v>
      </c>
      <c r="G46" s="20">
        <f t="shared" si="54"/>
        <v>5597774487</v>
      </c>
      <c r="H46" s="19" t="str">
        <f t="shared" si="3"/>
        <v>84 h 39 min 32 s</v>
      </c>
      <c r="I46" s="20" t="str">
        <f t="shared" si="4"/>
        <v>84 h 39 min 32 s</v>
      </c>
      <c r="J46" s="14" t="str">
        <f t="shared" si="41"/>
        <v>21 d 3 h 48 min 51 s</v>
      </c>
      <c r="L46" s="21">
        <f t="shared" si="6"/>
        <v>304771.8323</v>
      </c>
      <c r="M46" s="21">
        <f t="shared" si="10"/>
        <v>1828130.994</v>
      </c>
      <c r="O46" s="23">
        <f t="shared" si="11"/>
        <v>167933234.6</v>
      </c>
    </row>
    <row r="47" ht="15.75" customHeight="1">
      <c r="B47" s="13">
        <v>46.0</v>
      </c>
      <c r="C47" s="16">
        <f t="shared" si="7"/>
        <v>22958.87404</v>
      </c>
      <c r="D47" s="16">
        <f t="shared" si="8"/>
        <v>13410681.67</v>
      </c>
      <c r="E47" s="16" t="str">
        <f t="shared" si="1"/>
        <v>0 h 09 min 44 s</v>
      </c>
      <c r="F47" s="19">
        <f t="shared" ref="F47:G47" si="55">F46*$A$8</f>
        <v>8396661731</v>
      </c>
      <c r="G47" s="20">
        <f t="shared" si="55"/>
        <v>8396661731</v>
      </c>
      <c r="H47" s="19" t="str">
        <f t="shared" si="3"/>
        <v>101 h 35 min 26 s</v>
      </c>
      <c r="I47" s="20" t="str">
        <f t="shared" si="4"/>
        <v>101 h 35 min 26 s</v>
      </c>
      <c r="J47" s="14" t="str">
        <f t="shared" si="41"/>
        <v>25 d 9 h 24 min 17 s</v>
      </c>
      <c r="L47" s="21">
        <f t="shared" si="6"/>
        <v>365726.1988</v>
      </c>
      <c r="M47" s="21">
        <f t="shared" si="10"/>
        <v>2193857.193</v>
      </c>
      <c r="O47" s="23">
        <f t="shared" si="11"/>
        <v>251899851.9</v>
      </c>
    </row>
    <row r="48" ht="15.75" customHeight="1">
      <c r="B48" s="13">
        <v>47.0</v>
      </c>
      <c r="C48" s="16">
        <f t="shared" si="7"/>
        <v>28698.59255</v>
      </c>
      <c r="D48" s="16">
        <f t="shared" si="8"/>
        <v>17433886.17</v>
      </c>
      <c r="E48" s="16" t="str">
        <f t="shared" si="1"/>
        <v>0 h 10 min 07 s</v>
      </c>
      <c r="F48" s="19">
        <f t="shared" ref="F48:G48" si="56">F47*$A$8</f>
        <v>12594992597</v>
      </c>
      <c r="G48" s="20">
        <f t="shared" si="56"/>
        <v>12594992597</v>
      </c>
      <c r="H48" s="19" t="str">
        <f t="shared" si="3"/>
        <v>121 h 54 min 31 s</v>
      </c>
      <c r="I48" s="20" t="str">
        <f t="shared" si="4"/>
        <v>121 h 54 min 31 s</v>
      </c>
      <c r="J48" s="14" t="str">
        <f t="shared" si="41"/>
        <v>30 d 11 h 18 min 49 s</v>
      </c>
      <c r="L48" s="21">
        <f t="shared" si="6"/>
        <v>438871.4386</v>
      </c>
      <c r="M48" s="21">
        <f t="shared" si="10"/>
        <v>2632728.631</v>
      </c>
      <c r="O48" s="23">
        <f t="shared" si="11"/>
        <v>377849777.9</v>
      </c>
    </row>
    <row r="49" ht="15.75" customHeight="1">
      <c r="B49" s="13">
        <v>48.0</v>
      </c>
      <c r="C49" s="16">
        <f t="shared" si="7"/>
        <v>35873.24069</v>
      </c>
      <c r="D49" s="16">
        <f t="shared" si="8"/>
        <v>22664052.02</v>
      </c>
      <c r="E49" s="16" t="str">
        <f t="shared" si="1"/>
        <v>0 h 10 min 32 s</v>
      </c>
      <c r="F49" s="19">
        <f t="shared" ref="F49:G49" si="57">F48*$A$8</f>
        <v>18892488895</v>
      </c>
      <c r="G49" s="20">
        <f t="shared" si="57"/>
        <v>18892488895</v>
      </c>
      <c r="H49" s="19" t="str">
        <f t="shared" si="3"/>
        <v>146 h 17 min 26 s</v>
      </c>
      <c r="I49" s="20" t="str">
        <f t="shared" si="4"/>
        <v>146 h 17 min 26 s</v>
      </c>
      <c r="J49" s="14" t="str">
        <f t="shared" si="41"/>
        <v>36 d 13 h 36 min 14 s</v>
      </c>
      <c r="L49" s="21">
        <f t="shared" si="6"/>
        <v>526645.7263</v>
      </c>
      <c r="M49" s="21">
        <f t="shared" si="10"/>
        <v>3159374.358</v>
      </c>
      <c r="O49" s="23">
        <f t="shared" si="11"/>
        <v>566774666.9</v>
      </c>
    </row>
    <row r="50" ht="15.75" customHeight="1">
      <c r="B50" s="13">
        <v>49.0</v>
      </c>
      <c r="C50" s="16">
        <f t="shared" si="7"/>
        <v>44841.55086</v>
      </c>
      <c r="D50" s="16">
        <f t="shared" si="8"/>
        <v>29463267.63</v>
      </c>
      <c r="E50" s="16" t="str">
        <f t="shared" si="1"/>
        <v>0 h 10 min 57 s</v>
      </c>
      <c r="F50" s="19">
        <f t="shared" ref="F50:G50" si="58">F49*$A$8</f>
        <v>28338733343</v>
      </c>
      <c r="G50" s="20">
        <f t="shared" si="58"/>
        <v>28338733343</v>
      </c>
      <c r="H50" s="19" t="str">
        <f t="shared" si="3"/>
        <v>175 h 32 min 55 s</v>
      </c>
      <c r="I50" s="20" t="str">
        <f t="shared" si="4"/>
        <v>175 h 32 min 55 s</v>
      </c>
      <c r="J50" s="14" t="str">
        <f t="shared" si="41"/>
        <v>43 d 21 h 09 min 09 s</v>
      </c>
      <c r="L50" s="21">
        <f t="shared" si="6"/>
        <v>631974.8715</v>
      </c>
      <c r="M50" s="21">
        <f t="shared" si="10"/>
        <v>3791349.229</v>
      </c>
      <c r="O50" s="23">
        <f t="shared" si="11"/>
        <v>850162000.3</v>
      </c>
    </row>
    <row r="51" ht="15.75" customHeight="1">
      <c r="B51" s="13">
        <v>50.0</v>
      </c>
      <c r="C51" s="16">
        <f t="shared" si="7"/>
        <v>56051.93857</v>
      </c>
      <c r="D51" s="16">
        <f t="shared" si="8"/>
        <v>38302247.92</v>
      </c>
      <c r="E51" s="16" t="str">
        <f t="shared" si="1"/>
        <v>0 h 11 min 23 s</v>
      </c>
      <c r="F51" s="19">
        <f t="shared" ref="F51:G51" si="59">F50*$A$8</f>
        <v>42508100014</v>
      </c>
      <c r="G51" s="20">
        <f t="shared" si="59"/>
        <v>42508100014</v>
      </c>
      <c r="H51" s="19" t="str">
        <f t="shared" si="3"/>
        <v>210 h 39 min 30 s</v>
      </c>
      <c r="I51" s="20" t="str">
        <f t="shared" si="4"/>
        <v>210 h 39 min 30 s</v>
      </c>
      <c r="J51" s="14" t="str">
        <f t="shared" si="41"/>
        <v>52 d 15 h 48 min 39 s</v>
      </c>
      <c r="L51" s="21">
        <f t="shared" si="6"/>
        <v>758369.8458</v>
      </c>
      <c r="M51" s="21">
        <f t="shared" si="10"/>
        <v>4549719.075</v>
      </c>
      <c r="O51" s="23">
        <f t="shared" si="11"/>
        <v>1275243000</v>
      </c>
    </row>
    <row r="52" ht="15.75" customHeight="1">
      <c r="B52" s="13">
        <v>51.0</v>
      </c>
      <c r="C52" s="16">
        <f t="shared" si="7"/>
        <v>70064.92322</v>
      </c>
      <c r="D52" s="16">
        <f t="shared" si="8"/>
        <v>49792922.3</v>
      </c>
      <c r="E52" s="16" t="str">
        <f t="shared" si="1"/>
        <v>0 h 11 min 51 s</v>
      </c>
      <c r="F52" s="19">
        <f t="shared" ref="F52:G52" si="60">F51*$A$8</f>
        <v>63762150021</v>
      </c>
      <c r="G52" s="20">
        <f t="shared" si="60"/>
        <v>63762150021</v>
      </c>
      <c r="H52" s="19" t="str">
        <f t="shared" si="3"/>
        <v>252 h 47 min 24 s</v>
      </c>
      <c r="I52" s="20" t="str">
        <f t="shared" si="4"/>
        <v>252 h 47 min 24 s</v>
      </c>
      <c r="J52" s="14" t="str">
        <f t="shared" si="41"/>
        <v>63 d 4 h 36 min 03 s</v>
      </c>
      <c r="L52" s="21">
        <f t="shared" si="6"/>
        <v>910043.815</v>
      </c>
      <c r="M52" s="21">
        <f t="shared" si="10"/>
        <v>5459762.89</v>
      </c>
      <c r="O52" s="23">
        <f t="shared" si="11"/>
        <v>1912864501</v>
      </c>
    </row>
    <row r="53" ht="15.75" customHeight="1">
      <c r="B53" s="13">
        <v>52.0</v>
      </c>
      <c r="C53" s="16">
        <f t="shared" si="7"/>
        <v>87581.15402</v>
      </c>
      <c r="D53" s="16">
        <f t="shared" si="8"/>
        <v>64730798.99</v>
      </c>
      <c r="E53" s="16" t="str">
        <f t="shared" si="1"/>
        <v>0 h 12 min 19 s</v>
      </c>
      <c r="F53" s="19">
        <f t="shared" ref="F53:G53" si="61">F52*$A$8</f>
        <v>95643225032</v>
      </c>
      <c r="G53" s="20">
        <f t="shared" si="61"/>
        <v>95643225032</v>
      </c>
      <c r="H53" s="19" t="str">
        <f t="shared" si="3"/>
        <v>303 h 20 min 53 s</v>
      </c>
      <c r="I53" s="20" t="str">
        <f t="shared" si="4"/>
        <v>303 h 20 min 53 s</v>
      </c>
      <c r="J53" s="14" t="str">
        <f t="shared" si="41"/>
        <v>75 d 19 h 56 min 55 s</v>
      </c>
      <c r="L53" s="21">
        <f t="shared" si="6"/>
        <v>1092052.578</v>
      </c>
      <c r="M53" s="21">
        <f t="shared" si="10"/>
        <v>6551815.468</v>
      </c>
      <c r="O53" s="23">
        <f t="shared" si="11"/>
        <v>2869296751</v>
      </c>
    </row>
    <row r="54" ht="15.75" customHeight="1">
      <c r="B54" s="13">
        <v>53.0</v>
      </c>
      <c r="C54" s="16">
        <f t="shared" si="7"/>
        <v>109476.4425</v>
      </c>
      <c r="D54" s="16">
        <f t="shared" si="8"/>
        <v>84150038.68</v>
      </c>
      <c r="E54" s="16" t="str">
        <f t="shared" si="1"/>
        <v>0 h 12 min 49 s</v>
      </c>
      <c r="F54" s="19">
        <f t="shared" ref="F54:G54" si="62">F53*$A$8</f>
        <v>143464837548</v>
      </c>
      <c r="G54" s="20">
        <f t="shared" si="62"/>
        <v>143464837548</v>
      </c>
      <c r="H54" s="19" t="str">
        <f t="shared" si="3"/>
        <v>364 h 01 min 03 s</v>
      </c>
      <c r="I54" s="20" t="str">
        <f t="shared" si="4"/>
        <v>364 h 01 min 03 s</v>
      </c>
      <c r="J54" s="14" t="str">
        <f t="shared" si="41"/>
        <v>90 d 23 h 57 min 59 s</v>
      </c>
      <c r="L54" s="21">
        <f t="shared" si="6"/>
        <v>1310463.094</v>
      </c>
      <c r="M54" s="21">
        <f t="shared" si="10"/>
        <v>7862278.562</v>
      </c>
      <c r="O54" s="23">
        <f t="shared" si="11"/>
        <v>4303945126</v>
      </c>
    </row>
    <row r="55" ht="15.75" customHeight="1">
      <c r="B55" s="13">
        <v>54.0</v>
      </c>
      <c r="C55" s="16">
        <f t="shared" si="7"/>
        <v>136845.5532</v>
      </c>
      <c r="D55" s="16">
        <f t="shared" si="8"/>
        <v>109395050.3</v>
      </c>
      <c r="E55" s="16" t="str">
        <f t="shared" si="1"/>
        <v>0 h 13 min 19 s</v>
      </c>
      <c r="F55" s="19">
        <f t="shared" ref="F55:G55" si="63">F54*$A$8</f>
        <v>215197256322</v>
      </c>
      <c r="G55" s="20">
        <f t="shared" si="63"/>
        <v>215197256322</v>
      </c>
      <c r="H55" s="19" t="str">
        <f t="shared" si="3"/>
        <v>436 h 49 min 16 s</v>
      </c>
      <c r="I55" s="20" t="str">
        <f t="shared" si="4"/>
        <v>436 h 49 min 16 s</v>
      </c>
      <c r="J55" s="14" t="str">
        <f t="shared" si="41"/>
        <v>109 d 4 h 47 min 14 s</v>
      </c>
      <c r="L55" s="21">
        <f t="shared" si="6"/>
        <v>1572555.712</v>
      </c>
      <c r="M55" s="21">
        <f t="shared" si="10"/>
        <v>9434834.274</v>
      </c>
      <c r="O55" s="23">
        <f t="shared" si="11"/>
        <v>6455917690</v>
      </c>
    </row>
    <row r="56" ht="15.75" customHeight="1">
      <c r="B56" s="13">
        <v>55.0</v>
      </c>
      <c r="C56" s="16">
        <f t="shared" si="7"/>
        <v>171056.9414</v>
      </c>
      <c r="D56" s="16">
        <f t="shared" si="8"/>
        <v>142213565.4</v>
      </c>
      <c r="E56" s="16" t="str">
        <f t="shared" si="1"/>
        <v>0 h 13 min 51 s</v>
      </c>
      <c r="F56" s="19">
        <f t="shared" ref="F56:G56" si="64">F55*$A$8</f>
        <v>322795884483</v>
      </c>
      <c r="G56" s="20">
        <f t="shared" si="64"/>
        <v>322795884483</v>
      </c>
      <c r="H56" s="19" t="str">
        <f t="shared" si="3"/>
        <v>524 h 11 min 07 s</v>
      </c>
      <c r="I56" s="20" t="str">
        <f t="shared" si="4"/>
        <v>524 h 11 min 07 s</v>
      </c>
      <c r="J56" s="14" t="str">
        <f t="shared" si="41"/>
        <v>131 d 0 h 58 min 21 s</v>
      </c>
      <c r="L56" s="21">
        <f t="shared" si="6"/>
        <v>1887066.855</v>
      </c>
      <c r="M56" s="21">
        <f t="shared" si="10"/>
        <v>11321901.13</v>
      </c>
      <c r="O56" s="23">
        <f t="shared" si="11"/>
        <v>9683876535</v>
      </c>
    </row>
    <row r="57" ht="15.75" customHeight="1">
      <c r="B57" s="13">
        <v>56.0</v>
      </c>
      <c r="C57" s="16">
        <f t="shared" si="7"/>
        <v>213821.1768</v>
      </c>
      <c r="D57" s="16">
        <f t="shared" si="8"/>
        <v>184877635</v>
      </c>
      <c r="E57" s="16" t="str">
        <f t="shared" si="1"/>
        <v>0 h 14 min 25 s</v>
      </c>
      <c r="F57" s="19">
        <f t="shared" ref="F57:G57" si="65">F56*$A$8</f>
        <v>484193826725</v>
      </c>
      <c r="G57" s="20">
        <f t="shared" si="65"/>
        <v>484193826725</v>
      </c>
      <c r="H57" s="19" t="str">
        <f t="shared" si="3"/>
        <v>629 h 01 min 20 s</v>
      </c>
      <c r="I57" s="20" t="str">
        <f t="shared" si="4"/>
        <v>629 h 01 min 20 s</v>
      </c>
      <c r="J57" s="14" t="str">
        <f t="shared" si="41"/>
        <v>157 d 5 h 59 min 41 s</v>
      </c>
      <c r="L57" s="21">
        <f t="shared" si="6"/>
        <v>2264480.226</v>
      </c>
      <c r="M57" s="21">
        <f t="shared" si="10"/>
        <v>13586381.35</v>
      </c>
      <c r="O57" s="23">
        <f t="shared" si="11"/>
        <v>14525814802</v>
      </c>
    </row>
    <row r="58" ht="15.75" customHeight="1">
      <c r="B58" s="13">
        <v>57.0</v>
      </c>
      <c r="C58" s="16">
        <f t="shared" si="7"/>
        <v>267276.471</v>
      </c>
      <c r="D58" s="16">
        <f t="shared" si="8"/>
        <v>240340925.5</v>
      </c>
      <c r="E58" s="16" t="str">
        <f t="shared" si="1"/>
        <v>0 h 14 min 59 s</v>
      </c>
      <c r="F58" s="19">
        <f t="shared" ref="F58:G58" si="66">F57*$A$8</f>
        <v>726290740088</v>
      </c>
      <c r="G58" s="20">
        <f t="shared" si="66"/>
        <v>726290740088</v>
      </c>
      <c r="H58" s="19" t="str">
        <f t="shared" si="3"/>
        <v>754 h 49 min 36 s</v>
      </c>
      <c r="I58" s="20" t="str">
        <f t="shared" si="4"/>
        <v>754 h 49 min 36 s</v>
      </c>
      <c r="J58" s="14" t="str">
        <f t="shared" si="41"/>
        <v>188 d 16 h 49 min 18 s</v>
      </c>
      <c r="L58" s="21">
        <f t="shared" si="6"/>
        <v>2717376.271</v>
      </c>
      <c r="M58" s="21">
        <f t="shared" si="10"/>
        <v>16303757.63</v>
      </c>
      <c r="O58" s="23">
        <f t="shared" si="11"/>
        <v>21788722203</v>
      </c>
    </row>
    <row r="59" ht="15.75" customHeight="1">
      <c r="B59" s="13">
        <v>58.0</v>
      </c>
      <c r="C59" s="16">
        <f t="shared" si="7"/>
        <v>334095.5888</v>
      </c>
      <c r="D59" s="16">
        <f t="shared" si="8"/>
        <v>312443203.1</v>
      </c>
      <c r="E59" s="16" t="str">
        <f t="shared" si="1"/>
        <v>0 h 15 min 35 s</v>
      </c>
      <c r="F59" s="19">
        <f t="shared" ref="F59:G59" si="67">F58*$A$8</f>
        <v>1089436110131</v>
      </c>
      <c r="G59" s="20">
        <f t="shared" si="67"/>
        <v>1089436110131</v>
      </c>
      <c r="H59" s="19" t="str">
        <f t="shared" si="3"/>
        <v>905 h 47 min 32 s</v>
      </c>
      <c r="I59" s="20" t="str">
        <f t="shared" si="4"/>
        <v>905 h 47 min 32 s</v>
      </c>
      <c r="J59" s="14" t="str">
        <f t="shared" si="41"/>
        <v>226 d 10 h 36 min 49 s</v>
      </c>
      <c r="L59" s="21">
        <f t="shared" si="6"/>
        <v>3260851.525</v>
      </c>
      <c r="M59" s="21">
        <f t="shared" si="10"/>
        <v>19564609.15</v>
      </c>
      <c r="O59" s="23">
        <f t="shared" si="11"/>
        <v>32683083304</v>
      </c>
    </row>
    <row r="60" ht="15.75" customHeight="1">
      <c r="B60" s="13">
        <v>59.0</v>
      </c>
      <c r="C60" s="16">
        <f t="shared" si="7"/>
        <v>417619.486</v>
      </c>
      <c r="D60" s="16">
        <f t="shared" si="8"/>
        <v>406176164.1</v>
      </c>
      <c r="E60" s="16" t="str">
        <f t="shared" si="1"/>
        <v>0 h 16 min 13 s</v>
      </c>
      <c r="F60" s="19">
        <f t="shared" ref="F60:G60" si="68">F59*$A$8</f>
        <v>1634154165197</v>
      </c>
      <c r="G60" s="20">
        <f t="shared" si="68"/>
        <v>1634154165197</v>
      </c>
      <c r="H60" s="19" t="str">
        <f t="shared" si="3"/>
        <v>1086 h 57 min 02 s</v>
      </c>
      <c r="I60" s="20" t="str">
        <f t="shared" si="4"/>
        <v>1086 h 57 min 02 s</v>
      </c>
      <c r="J60" s="14" t="str">
        <f t="shared" si="41"/>
        <v>271 d 17 h 33 min 51 s</v>
      </c>
      <c r="L60" s="21">
        <f t="shared" si="6"/>
        <v>3913021.83</v>
      </c>
      <c r="M60" s="21">
        <f t="shared" si="10"/>
        <v>23477630.98</v>
      </c>
      <c r="O60" s="23">
        <f t="shared" si="11"/>
        <v>49024624956</v>
      </c>
    </row>
    <row r="61" ht="15.75" customHeight="1">
      <c r="B61" s="13">
        <v>60.0</v>
      </c>
      <c r="C61" s="16">
        <f t="shared" si="7"/>
        <v>522024.3574</v>
      </c>
      <c r="D61" s="16">
        <f t="shared" si="8"/>
        <v>528029013.3</v>
      </c>
      <c r="E61" s="16" t="str">
        <f t="shared" si="1"/>
        <v>0 h 16 min 52 s</v>
      </c>
      <c r="F61" s="19">
        <f t="shared" ref="F61:G61" si="69">F60*$A$8</f>
        <v>2451231247796</v>
      </c>
      <c r="G61" s="20">
        <f t="shared" si="69"/>
        <v>2451231247796</v>
      </c>
      <c r="H61" s="19" t="str">
        <f t="shared" si="3"/>
        <v>1304 h 20 min 26 s</v>
      </c>
      <c r="I61" s="20" t="str">
        <f t="shared" si="4"/>
        <v>1304 h 20 min 26 s</v>
      </c>
      <c r="J61" s="14" t="str">
        <f t="shared" si="41"/>
        <v>326 d 1 h 54 min 17 s</v>
      </c>
      <c r="L61" s="21">
        <f t="shared" si="6"/>
        <v>4695626.196</v>
      </c>
      <c r="M61" s="21">
        <f t="shared" si="10"/>
        <v>28173257.18</v>
      </c>
      <c r="O61" s="23">
        <f t="shared" si="11"/>
        <v>73536937434</v>
      </c>
    </row>
    <row r="62" ht="15.75" customHeight="1">
      <c r="B62" s="13">
        <v>61.0</v>
      </c>
      <c r="C62" s="16">
        <f t="shared" si="7"/>
        <v>652530.4468</v>
      </c>
      <c r="D62" s="16">
        <f t="shared" si="8"/>
        <v>686437717.3</v>
      </c>
      <c r="E62" s="16" t="str">
        <f t="shared" si="1"/>
        <v>0 h 17 min 32 s</v>
      </c>
      <c r="F62" s="19">
        <f t="shared" ref="F62:G62" si="70">F61*$A$8</f>
        <v>3676846871693</v>
      </c>
      <c r="G62" s="20">
        <f t="shared" si="70"/>
        <v>3676846871693</v>
      </c>
      <c r="H62" s="19" t="str">
        <f t="shared" si="3"/>
        <v>1565 h 12 min 31 s</v>
      </c>
      <c r="I62" s="20" t="str">
        <f t="shared" si="4"/>
        <v>1565 h 12 min 31 s</v>
      </c>
      <c r="J62" s="14" t="str">
        <f t="shared" si="41"/>
        <v>391 d 7 h 06 min 49 s</v>
      </c>
      <c r="L62" s="21">
        <f t="shared" si="6"/>
        <v>5634751.435</v>
      </c>
      <c r="M62" s="21">
        <f t="shared" si="10"/>
        <v>33808008.61</v>
      </c>
      <c r="O62" s="23">
        <f t="shared" si="11"/>
        <v>110305406151</v>
      </c>
    </row>
    <row r="63" ht="15.75" customHeight="1">
      <c r="B63" s="13">
        <v>62.0</v>
      </c>
      <c r="C63" s="16">
        <f t="shared" si="7"/>
        <v>815663.0585</v>
      </c>
      <c r="D63" s="16">
        <f t="shared" si="8"/>
        <v>892369032.5</v>
      </c>
      <c r="E63" s="16" t="str">
        <f t="shared" si="1"/>
        <v>0 h 18 min 14 s</v>
      </c>
      <c r="F63" s="19">
        <f t="shared" ref="F63:G63" si="71">F62*$A$8</f>
        <v>5515270307540</v>
      </c>
      <c r="G63" s="20">
        <f t="shared" si="71"/>
        <v>5515270307540</v>
      </c>
      <c r="H63" s="19" t="str">
        <f t="shared" si="3"/>
        <v>1878 h 15 min 02 s</v>
      </c>
      <c r="I63" s="20" t="str">
        <f t="shared" si="4"/>
        <v>1878 h 15 min 02 s</v>
      </c>
      <c r="J63" s="14" t="str">
        <f t="shared" si="41"/>
        <v>469 d 13 h 21 min 50 s</v>
      </c>
      <c r="L63" s="21">
        <f t="shared" si="6"/>
        <v>6761701.722</v>
      </c>
      <c r="M63" s="21">
        <f t="shared" si="10"/>
        <v>40569710.33</v>
      </c>
      <c r="O63" s="23">
        <f t="shared" si="11"/>
        <v>165458109226</v>
      </c>
    </row>
    <row r="64" ht="15.75" customHeight="1">
      <c r="B64" s="13">
        <v>63.0</v>
      </c>
      <c r="C64" s="16">
        <f t="shared" si="7"/>
        <v>1019578.823</v>
      </c>
      <c r="D64" s="16">
        <f t="shared" si="8"/>
        <v>1160079742</v>
      </c>
      <c r="E64" s="16" t="str">
        <f t="shared" si="1"/>
        <v>0 h 18 min 58 s</v>
      </c>
      <c r="F64" s="19">
        <f t="shared" ref="F64:G64" si="72">F63*$A$8</f>
        <v>8272905461310</v>
      </c>
      <c r="G64" s="20">
        <f t="shared" si="72"/>
        <v>8272905461310</v>
      </c>
      <c r="H64" s="19" t="str">
        <f t="shared" si="3"/>
        <v>2253 h 54 min 02 s</v>
      </c>
      <c r="I64" s="20" t="str">
        <f t="shared" si="4"/>
        <v>2253 h 54 min 02 s</v>
      </c>
      <c r="J64" s="14" t="str">
        <f t="shared" si="41"/>
        <v>563 d 11 h 15 min 52 s</v>
      </c>
      <c r="L64" s="21">
        <f t="shared" si="6"/>
        <v>8114042.067</v>
      </c>
      <c r="M64" s="21">
        <f t="shared" si="10"/>
        <v>48683752.4</v>
      </c>
      <c r="O64" s="23">
        <f t="shared" si="11"/>
        <v>248187163839</v>
      </c>
    </row>
    <row r="65" ht="15.75" customHeight="1">
      <c r="B65" s="13">
        <v>64.0</v>
      </c>
      <c r="C65" s="16">
        <f t="shared" si="7"/>
        <v>1274473.529</v>
      </c>
      <c r="D65" s="16">
        <f t="shared" si="8"/>
        <v>1508103665</v>
      </c>
      <c r="E65" s="16" t="str">
        <f t="shared" si="1"/>
        <v>0 h 19 min 43 s</v>
      </c>
      <c r="F65" s="19">
        <f t="shared" ref="F65:G65" si="73">F64*$A$8</f>
        <v>12409358191965</v>
      </c>
      <c r="G65" s="20">
        <f t="shared" si="73"/>
        <v>12409358191965</v>
      </c>
      <c r="H65" s="19" t="str">
        <f t="shared" si="3"/>
        <v>2704 h 40 min 50 s</v>
      </c>
      <c r="I65" s="20" t="str">
        <f t="shared" si="4"/>
        <v>2704 h 40 min 50 s</v>
      </c>
      <c r="J65" s="14" t="str">
        <f t="shared" si="41"/>
        <v>676 d 3 h 56 min 43 s</v>
      </c>
      <c r="L65" s="21">
        <f t="shared" si="6"/>
        <v>9736850.48</v>
      </c>
      <c r="M65" s="21">
        <f t="shared" si="10"/>
        <v>58420602.88</v>
      </c>
      <c r="O65" s="23">
        <f t="shared" si="11"/>
        <v>372280745759</v>
      </c>
    </row>
    <row r="66" ht="15.75" customHeight="1">
      <c r="B66" s="13">
        <v>65.0</v>
      </c>
      <c r="C66" s="16">
        <f t="shared" si="7"/>
        <v>1593091.911</v>
      </c>
      <c r="D66" s="16">
        <f t="shared" si="8"/>
        <v>1960534764</v>
      </c>
      <c r="E66" s="16" t="str">
        <f t="shared" si="1"/>
        <v>0 h 20 min 31 s</v>
      </c>
      <c r="F66" s="19">
        <f t="shared" ref="F66:G66" si="74">F65*$A$8</f>
        <v>18614037287947</v>
      </c>
      <c r="G66" s="20">
        <f t="shared" si="74"/>
        <v>18614037287947</v>
      </c>
      <c r="H66" s="19" t="str">
        <f t="shared" si="3"/>
        <v>3245 h 37 min 01 s</v>
      </c>
      <c r="I66" s="20" t="str">
        <f t="shared" si="4"/>
        <v>3245 h 37 min 01 s</v>
      </c>
      <c r="J66" s="14" t="str">
        <f t="shared" si="41"/>
        <v>811 d 9 h 33 min 43 s</v>
      </c>
      <c r="L66" s="21">
        <f t="shared" si="6"/>
        <v>11684220.58</v>
      </c>
      <c r="M66" s="21">
        <f t="shared" si="10"/>
        <v>70104823.46</v>
      </c>
      <c r="O66" s="23">
        <f t="shared" si="11"/>
        <v>558421118638</v>
      </c>
    </row>
    <row r="67" ht="15.75" customHeight="1">
      <c r="B67" s="13">
        <v>66.0</v>
      </c>
      <c r="C67" s="16">
        <f t="shared" si="7"/>
        <v>1991364.889</v>
      </c>
      <c r="D67" s="16">
        <f t="shared" si="8"/>
        <v>2548695194</v>
      </c>
      <c r="E67" s="16" t="str">
        <f t="shared" si="1"/>
        <v>0 h 21 min 20 s</v>
      </c>
      <c r="F67" s="19">
        <f t="shared" ref="F67:G67" si="75">F66*$A$8</f>
        <v>27921055931921</v>
      </c>
      <c r="G67" s="20">
        <f t="shared" si="75"/>
        <v>27921055931921</v>
      </c>
      <c r="H67" s="19" t="str">
        <f t="shared" si="3"/>
        <v>3894 h 44 min 25 s</v>
      </c>
      <c r="I67" s="20" t="str">
        <f t="shared" si="4"/>
        <v>3894 h 44 min 25 s</v>
      </c>
      <c r="J67" s="14" t="str">
        <f t="shared" si="41"/>
        <v>973 d 16 h 18 min 08 s</v>
      </c>
      <c r="L67" s="21">
        <f t="shared" si="6"/>
        <v>14021064.69</v>
      </c>
      <c r="M67" s="21">
        <f t="shared" si="10"/>
        <v>84125888.15</v>
      </c>
      <c r="O67" s="23">
        <f t="shared" si="11"/>
        <v>837631677958</v>
      </c>
    </row>
    <row r="68" ht="15.75" customHeight="1">
      <c r="B68" s="13">
        <v>67.0</v>
      </c>
      <c r="C68" s="16">
        <f t="shared" si="7"/>
        <v>2489206.111</v>
      </c>
      <c r="D68" s="16">
        <f t="shared" si="8"/>
        <v>3313303752</v>
      </c>
      <c r="E68" s="16" t="str">
        <f t="shared" si="1"/>
        <v>0 h 22 min 11 s</v>
      </c>
      <c r="F68" s="19">
        <f t="shared" ref="F68:G68" si="76">F67*$A$8</f>
        <v>41881583897882</v>
      </c>
      <c r="G68" s="20">
        <f t="shared" si="76"/>
        <v>41881583897882</v>
      </c>
      <c r="H68" s="19" t="str">
        <f t="shared" si="3"/>
        <v>4673 h 41 min 18 s</v>
      </c>
      <c r="I68" s="20" t="str">
        <f t="shared" si="4"/>
        <v>4673 h 41 min 18 s</v>
      </c>
      <c r="J68" s="14" t="str">
        <f t="shared" si="41"/>
        <v>1168 d 9 h 59 min 26 s</v>
      </c>
      <c r="L68" s="21">
        <f t="shared" si="6"/>
        <v>16825277.63</v>
      </c>
      <c r="M68" s="21">
        <f t="shared" si="10"/>
        <v>100951165.8</v>
      </c>
      <c r="O68" s="23">
        <f t="shared" si="11"/>
        <v>1256447516936</v>
      </c>
    </row>
    <row r="69" ht="15.75" customHeight="1">
      <c r="B69" s="13">
        <v>68.0</v>
      </c>
      <c r="C69" s="16">
        <f t="shared" si="7"/>
        <v>3111507.639</v>
      </c>
      <c r="D69" s="16">
        <f t="shared" si="8"/>
        <v>4307294877</v>
      </c>
      <c r="E69" s="16" t="str">
        <f t="shared" si="1"/>
        <v>0 h 23 min 04 s</v>
      </c>
      <c r="F69" s="19">
        <f t="shared" ref="F69:G69" si="77">F68*$A$8</f>
        <v>62822375846822</v>
      </c>
      <c r="G69" s="20">
        <f t="shared" si="77"/>
        <v>62822375846822</v>
      </c>
      <c r="H69" s="19" t="str">
        <f t="shared" si="3"/>
        <v>5608 h 25 min 33 s</v>
      </c>
      <c r="I69" s="20" t="str">
        <f t="shared" si="4"/>
        <v>5608 h 25 min 33 s</v>
      </c>
      <c r="J69" s="14" t="str">
        <f t="shared" si="41"/>
        <v>1402 d 2 h 24 min 59 s</v>
      </c>
      <c r="L69" s="21">
        <f t="shared" si="6"/>
        <v>20190333.16</v>
      </c>
      <c r="M69" s="21">
        <f t="shared" si="10"/>
        <v>121141498.9</v>
      </c>
      <c r="O69" s="23">
        <f t="shared" si="11"/>
        <v>1884671275405</v>
      </c>
    </row>
    <row r="70" ht="15.75" customHeight="1">
      <c r="B70" s="13">
        <v>69.0</v>
      </c>
      <c r="C70" s="16">
        <f t="shared" si="7"/>
        <v>3889384.549</v>
      </c>
      <c r="D70" s="16">
        <f t="shared" si="8"/>
        <v>5599483340</v>
      </c>
      <c r="E70" s="16" t="str">
        <f t="shared" si="1"/>
        <v>0 h 24 min 00 s</v>
      </c>
      <c r="F70" s="19">
        <f t="shared" ref="F70:G70" si="78">F69*$A$8</f>
        <v>94233563770233</v>
      </c>
      <c r="G70" s="20">
        <f t="shared" si="78"/>
        <v>94233563770233</v>
      </c>
      <c r="H70" s="19" t="str">
        <f t="shared" si="3"/>
        <v>6730 h 06 min 40 s</v>
      </c>
      <c r="I70" s="20" t="str">
        <f t="shared" si="4"/>
        <v>6730 h 06 min 40 s</v>
      </c>
      <c r="J70" s="14" t="str">
        <f t="shared" si="41"/>
        <v>1682 d 12 h 31 min 39 s</v>
      </c>
      <c r="L70" s="21">
        <f t="shared" si="6"/>
        <v>24228399.79</v>
      </c>
      <c r="M70" s="21">
        <f t="shared" si="10"/>
        <v>145369898.7</v>
      </c>
      <c r="O70" s="23">
        <f t="shared" si="11"/>
        <v>2827006913107</v>
      </c>
    </row>
    <row r="71" ht="15.75" customHeight="1">
      <c r="B71" s="13">
        <v>70.0</v>
      </c>
      <c r="C71" s="16">
        <f t="shared" si="7"/>
        <v>4861730.686</v>
      </c>
      <c r="D71" s="16">
        <f t="shared" si="8"/>
        <v>7279328342</v>
      </c>
      <c r="E71" s="16" t="str">
        <f t="shared" si="1"/>
        <v>0 h 24 min 57 s</v>
      </c>
      <c r="F71" s="19">
        <f t="shared" ref="F71:G71" si="79">F70*$A$8</f>
        <v>141350345655350</v>
      </c>
      <c r="G71" s="20">
        <f t="shared" si="79"/>
        <v>141350345655350</v>
      </c>
      <c r="H71" s="19" t="str">
        <f t="shared" si="3"/>
        <v>8076 h 08 min 00 s</v>
      </c>
      <c r="I71" s="20" t="str">
        <f t="shared" si="4"/>
        <v>8076 h 08 min 00 s</v>
      </c>
      <c r="J71" s="14" t="str">
        <f t="shared" si="41"/>
        <v>2019 d 0 h 39 min 38 s</v>
      </c>
      <c r="L71" s="21">
        <f t="shared" si="6"/>
        <v>29074079.74</v>
      </c>
      <c r="M71" s="21">
        <f t="shared" si="10"/>
        <v>174443978.5</v>
      </c>
      <c r="O71" s="23">
        <f t="shared" si="11"/>
        <v>4240510369661</v>
      </c>
    </row>
    <row r="72" ht="15.75" customHeight="1">
      <c r="B72" s="13">
        <v>71.0</v>
      </c>
      <c r="C72" s="16">
        <f t="shared" si="7"/>
        <v>6077163.357</v>
      </c>
      <c r="D72" s="16">
        <f t="shared" si="8"/>
        <v>9463126845</v>
      </c>
      <c r="E72" s="16" t="str">
        <f t="shared" si="1"/>
        <v>0 h 25 min 57 s</v>
      </c>
      <c r="F72" s="19">
        <f t="shared" ref="F72:G72" si="80">F71*$A$8</f>
        <v>212025518483025</v>
      </c>
      <c r="G72" s="20">
        <f t="shared" si="80"/>
        <v>212025518483025</v>
      </c>
      <c r="H72" s="19" t="str">
        <f t="shared" si="3"/>
        <v>9691 h 21 min 36 s</v>
      </c>
      <c r="I72" s="20" t="str">
        <f t="shared" si="4"/>
        <v>9691 h 21 min 36 s</v>
      </c>
      <c r="J72" s="14" t="str">
        <f t="shared" si="41"/>
        <v>2422 d 20 h 01 min 14 s</v>
      </c>
      <c r="L72" s="21">
        <f t="shared" si="6"/>
        <v>34888895.69</v>
      </c>
      <c r="M72" s="21">
        <f t="shared" si="10"/>
        <v>209332874.2</v>
      </c>
      <c r="O72" s="23">
        <f t="shared" si="11"/>
        <v>6360765554491</v>
      </c>
    </row>
    <row r="73" ht="15.75" customHeight="1">
      <c r="B73" s="13">
        <v>72.0</v>
      </c>
      <c r="C73" s="16">
        <f t="shared" si="7"/>
        <v>7596454.197</v>
      </c>
      <c r="D73" s="16">
        <f t="shared" si="8"/>
        <v>12302064899</v>
      </c>
      <c r="E73" s="16" t="str">
        <f t="shared" si="1"/>
        <v>0 h 26 min 59 s</v>
      </c>
      <c r="F73" s="19">
        <f t="shared" ref="F73:G73" si="81">F72*$A$8</f>
        <v>318038277724538</v>
      </c>
      <c r="G73" s="20">
        <f t="shared" si="81"/>
        <v>318038277724538</v>
      </c>
      <c r="H73" s="19" t="str">
        <f t="shared" si="3"/>
        <v>11629 h 37 min 55 s</v>
      </c>
      <c r="I73" s="20" t="str">
        <f t="shared" si="4"/>
        <v>11629 h 37 min 55 s</v>
      </c>
      <c r="J73" s="14" t="str">
        <f t="shared" si="41"/>
        <v>2907 d 9 h 39 min 09 s</v>
      </c>
      <c r="L73" s="21">
        <f t="shared" si="6"/>
        <v>41866674.83</v>
      </c>
      <c r="M73" s="21">
        <f t="shared" si="10"/>
        <v>251199549</v>
      </c>
      <c r="O73" s="23">
        <f t="shared" si="11"/>
        <v>9541148331736</v>
      </c>
    </row>
    <row r="74" ht="15.75" customHeight="1">
      <c r="B74" s="13">
        <v>73.0</v>
      </c>
      <c r="C74" s="16">
        <f t="shared" si="7"/>
        <v>9495567.746</v>
      </c>
      <c r="D74" s="16">
        <f t="shared" si="8"/>
        <v>15992684368</v>
      </c>
      <c r="E74" s="16" t="str">
        <f t="shared" si="1"/>
        <v>0 h 28 min 04 s</v>
      </c>
      <c r="F74" s="19">
        <f t="shared" ref="F74:G74" si="82">F73*$A$8</f>
        <v>477057416586807</v>
      </c>
      <c r="G74" s="20">
        <f t="shared" si="82"/>
        <v>477057416586807</v>
      </c>
      <c r="H74" s="19" t="str">
        <f t="shared" si="3"/>
        <v>13955 h 33 min 30 s</v>
      </c>
      <c r="I74" s="20" t="str">
        <f t="shared" si="4"/>
        <v>13955 h 33 min 30 s</v>
      </c>
      <c r="J74" s="14" t="str">
        <f t="shared" si="41"/>
        <v>3488 d 21 h 12 min 39 s</v>
      </c>
      <c r="L74" s="21">
        <f t="shared" si="6"/>
        <v>50240009.8</v>
      </c>
      <c r="M74" s="21">
        <f t="shared" si="10"/>
        <v>301439558.8</v>
      </c>
      <c r="O74" s="23">
        <f t="shared" si="11"/>
        <v>14311722497604</v>
      </c>
    </row>
    <row r="75" ht="15.75" customHeight="1">
      <c r="B75" s="13">
        <v>74.0</v>
      </c>
      <c r="C75" s="16">
        <f t="shared" si="7"/>
        <v>11869459.68</v>
      </c>
      <c r="D75" s="16">
        <f t="shared" si="8"/>
        <v>20790489679</v>
      </c>
      <c r="E75" s="16" t="str">
        <f t="shared" si="1"/>
        <v>0 h 29 min 12 s</v>
      </c>
      <c r="F75" s="19">
        <f t="shared" ref="F75:G75" si="83">F74*$A$8</f>
        <v>715586124880210</v>
      </c>
      <c r="G75" s="20">
        <f t="shared" si="83"/>
        <v>715586124880210</v>
      </c>
      <c r="H75" s="19" t="str">
        <f t="shared" si="3"/>
        <v>16746 h 40 min 12 s</v>
      </c>
      <c r="I75" s="20" t="str">
        <f t="shared" si="4"/>
        <v>16746 h 40 min 12 s</v>
      </c>
      <c r="J75" s="14" t="str">
        <f t="shared" si="41"/>
        <v>4186 d 15 h 52 min 51 s</v>
      </c>
      <c r="L75" s="21">
        <f t="shared" si="6"/>
        <v>60288011.76</v>
      </c>
      <c r="M75" s="21">
        <f t="shared" si="10"/>
        <v>361727570.5</v>
      </c>
      <c r="O75" s="23">
        <f t="shared" si="11"/>
        <v>21467583746406</v>
      </c>
    </row>
    <row r="76" ht="15.75" customHeight="1">
      <c r="B76" s="13">
        <v>75.0</v>
      </c>
      <c r="C76" s="16">
        <f t="shared" si="7"/>
        <v>14836824.6</v>
      </c>
      <c r="D76" s="16">
        <f t="shared" si="8"/>
        <v>27027636582</v>
      </c>
      <c r="E76" s="16" t="str">
        <f t="shared" si="1"/>
        <v>0 h 30 min 22 s</v>
      </c>
      <c r="F76" s="19">
        <f t="shared" ref="F76:G76" si="84">F75*$A$8</f>
        <v>1.07338E+15</v>
      </c>
      <c r="G76" s="20">
        <f t="shared" si="84"/>
        <v>1.07338E+15</v>
      </c>
      <c r="H76" s="19" t="str">
        <f t="shared" si="3"/>
        <v>20096 h 00 min 14 s</v>
      </c>
      <c r="I76" s="20" t="str">
        <f t="shared" si="4"/>
        <v>20096 h 00 min 14 s</v>
      </c>
      <c r="J76" s="14" t="str">
        <f t="shared" si="41"/>
        <v>5023 d 23 h 53 min 05 s</v>
      </c>
      <c r="L76" s="21">
        <f t="shared" si="6"/>
        <v>72345614.11</v>
      </c>
      <c r="M76" s="21">
        <f t="shared" si="10"/>
        <v>434073184.7</v>
      </c>
      <c r="O76" s="23">
        <f t="shared" si="11"/>
        <v>32201375619610</v>
      </c>
    </row>
    <row r="77" ht="15.75" customHeight="1">
      <c r="B77" s="13">
        <v>76.0</v>
      </c>
      <c r="C77" s="16">
        <f t="shared" si="7"/>
        <v>18546030.75</v>
      </c>
      <c r="D77" s="16">
        <f t="shared" si="8"/>
        <v>35135927557</v>
      </c>
      <c r="E77" s="16" t="str">
        <f t="shared" si="1"/>
        <v>0 h 31 min 35 s</v>
      </c>
      <c r="F77" s="19">
        <f t="shared" ref="F77:G77" si="85">F76*$A$8</f>
        <v>1.61007E+15</v>
      </c>
      <c r="G77" s="20">
        <f t="shared" si="85"/>
        <v>1.61007E+15</v>
      </c>
      <c r="H77" s="19" t="str">
        <f t="shared" si="3"/>
        <v>24115 h 12 min 17 s</v>
      </c>
      <c r="I77" s="20" t="str">
        <f t="shared" si="4"/>
        <v>24115 h 12 min 17 s</v>
      </c>
      <c r="J77" s="14" t="str">
        <f t="shared" si="41"/>
        <v>6028 d 19 h 05 min 22 s</v>
      </c>
      <c r="L77" s="21">
        <f t="shared" si="6"/>
        <v>86814736.93</v>
      </c>
      <c r="M77" s="21">
        <f t="shared" si="10"/>
        <v>520887921.6</v>
      </c>
      <c r="O77" s="23">
        <f t="shared" si="11"/>
        <v>48302063429414</v>
      </c>
    </row>
    <row r="78" ht="15.75" customHeight="1">
      <c r="B78" s="13">
        <v>77.0</v>
      </c>
      <c r="C78" s="16">
        <f t="shared" si="7"/>
        <v>23182538.44</v>
      </c>
      <c r="D78" s="16">
        <f t="shared" si="8"/>
        <v>45676705824</v>
      </c>
      <c r="E78" s="16" t="str">
        <f t="shared" si="1"/>
        <v>0 h 32 min 50 s</v>
      </c>
      <c r="F78" s="19">
        <f t="shared" ref="F78:G78" si="86">F77*$A$8</f>
        <v>2.4151E+15</v>
      </c>
      <c r="G78" s="20">
        <f t="shared" si="86"/>
        <v>2.4151E+15</v>
      </c>
      <c r="H78" s="19" t="str">
        <f t="shared" si="3"/>
        <v>28938 h 14 min 44 s</v>
      </c>
      <c r="I78" s="20" t="str">
        <f t="shared" si="4"/>
        <v>28938 h 14 min 44 s</v>
      </c>
      <c r="J78" s="14" t="str">
        <f t="shared" si="41"/>
        <v>7234 d 13 h 20 min 06 s</v>
      </c>
      <c r="L78" s="21">
        <f t="shared" si="6"/>
        <v>104177684.3</v>
      </c>
      <c r="M78" s="21">
        <f t="shared" si="10"/>
        <v>625065605.9</v>
      </c>
      <c r="O78" s="23">
        <f t="shared" si="11"/>
        <v>72453095144121</v>
      </c>
    </row>
    <row r="79" ht="15.75" customHeight="1">
      <c r="B79" s="13">
        <v>78.0</v>
      </c>
      <c r="C79" s="16">
        <f t="shared" si="7"/>
        <v>28978173.05</v>
      </c>
      <c r="D79" s="16">
        <f t="shared" si="8"/>
        <v>59379717572</v>
      </c>
      <c r="E79" s="16" t="str">
        <f t="shared" si="1"/>
        <v>0 h 34 min 09 s</v>
      </c>
      <c r="F79" s="19">
        <f t="shared" ref="F79:G79" si="87">F78*$A$8</f>
        <v>3.62265E+15</v>
      </c>
      <c r="G79" s="20">
        <f t="shared" si="87"/>
        <v>3.62265E+15</v>
      </c>
      <c r="H79" s="19" t="str">
        <f t="shared" si="3"/>
        <v>34725 h 53 min 41 s</v>
      </c>
      <c r="I79" s="20" t="str">
        <f t="shared" si="4"/>
        <v>34725 h 53 min 41 s</v>
      </c>
      <c r="J79" s="14" t="str">
        <f t="shared" si="41"/>
        <v>8681 d 11 h 13 min 47 s</v>
      </c>
      <c r="L79" s="21">
        <f t="shared" si="6"/>
        <v>125013221.2</v>
      </c>
      <c r="M79" s="21">
        <f t="shared" si="10"/>
        <v>750078827.1</v>
      </c>
      <c r="O79" s="23">
        <f t="shared" si="11"/>
        <v>108679642716182</v>
      </c>
    </row>
    <row r="80" ht="15.75" customHeight="1">
      <c r="B80" s="13">
        <v>79.0</v>
      </c>
      <c r="C80" s="16">
        <f t="shared" si="7"/>
        <v>36222716.32</v>
      </c>
      <c r="D80" s="16">
        <f t="shared" si="8"/>
        <v>77193632843</v>
      </c>
      <c r="E80" s="16" t="str">
        <f t="shared" si="1"/>
        <v>0 h 35 min 31 s</v>
      </c>
      <c r="F80" s="19">
        <f t="shared" ref="F80:G80" si="88">F79*$A$8</f>
        <v>5.43398E+15</v>
      </c>
      <c r="G80" s="20">
        <f t="shared" si="88"/>
        <v>5.43398E+15</v>
      </c>
      <c r="H80" s="19" t="str">
        <f t="shared" si="3"/>
        <v>41671 h 04 min 25 s</v>
      </c>
      <c r="I80" s="20" t="str">
        <f t="shared" si="4"/>
        <v>41671 h 04 min 25 s</v>
      </c>
      <c r="J80" s="14" t="str">
        <f t="shared" si="41"/>
        <v>10417 d 18 h 18 min 13 s</v>
      </c>
      <c r="L80" s="21">
        <f t="shared" si="6"/>
        <v>150015865.4</v>
      </c>
      <c r="M80" s="21">
        <f t="shared" si="10"/>
        <v>900094692.5</v>
      </c>
      <c r="O80" s="23">
        <f t="shared" si="11"/>
        <v>163019464074273</v>
      </c>
    </row>
    <row r="81" ht="15.75" customHeight="1">
      <c r="B81" s="13">
        <v>80.0</v>
      </c>
      <c r="C81" s="16">
        <f t="shared" si="7"/>
        <v>45278395.39</v>
      </c>
      <c r="D81" s="16">
        <f t="shared" si="8"/>
        <v>100351722696</v>
      </c>
      <c r="E81" s="16" t="str">
        <f t="shared" si="1"/>
        <v>0 h 36 min 56 s</v>
      </c>
      <c r="F81" s="19">
        <f t="shared" ref="F81:G81" si="89">F80*$A$8</f>
        <v>8.15097E+15</v>
      </c>
      <c r="G81" s="20">
        <f t="shared" si="89"/>
        <v>8.15097E+15</v>
      </c>
      <c r="H81" s="19" t="str">
        <f t="shared" si="3"/>
        <v>50005 h 17 min 19 s</v>
      </c>
      <c r="I81" s="20" t="str">
        <f t="shared" si="4"/>
        <v>50005 h 17 min 19 s</v>
      </c>
      <c r="J81" s="14" t="str">
        <f t="shared" si="41"/>
        <v>12501 d 7 h 35 min 31 s</v>
      </c>
      <c r="L81" s="21">
        <f t="shared" si="6"/>
        <v>180019038.5</v>
      </c>
      <c r="M81" s="21">
        <f t="shared" si="10"/>
        <v>1080113731</v>
      </c>
      <c r="O81" s="23">
        <f t="shared" si="11"/>
        <v>244529196111409</v>
      </c>
    </row>
    <row r="82" ht="15.75" customHeight="1">
      <c r="B82" s="13">
        <v>81.0</v>
      </c>
      <c r="C82" s="16">
        <f t="shared" si="7"/>
        <v>56597994.24</v>
      </c>
      <c r="D82" s="16">
        <f t="shared" si="8"/>
        <v>130457239505</v>
      </c>
      <c r="E82" s="16" t="str">
        <f t="shared" si="1"/>
        <v>0 h 38 min 25 s</v>
      </c>
      <c r="F82" s="19">
        <f t="shared" ref="F82:G82" si="90">F81*$A$8</f>
        <v>1.22265E+16</v>
      </c>
      <c r="G82" s="20">
        <f t="shared" si="90"/>
        <v>1.22265E+16</v>
      </c>
      <c r="H82" s="19" t="str">
        <f t="shared" si="3"/>
        <v>60006 h 20 min 46 s</v>
      </c>
      <c r="I82" s="20" t="str">
        <f t="shared" si="4"/>
        <v>60006 h 20 min 46 s</v>
      </c>
      <c r="J82" s="14" t="str">
        <f t="shared" si="41"/>
        <v>15001 d 13 h 56 min 17 s</v>
      </c>
      <c r="L82" s="21">
        <f t="shared" si="6"/>
        <v>216022846.2</v>
      </c>
      <c r="M82" s="21">
        <f t="shared" si="10"/>
        <v>1296136577</v>
      </c>
      <c r="O82" s="23">
        <f t="shared" si="11"/>
        <v>366793794167114</v>
      </c>
    </row>
    <row r="83" ht="15.75" customHeight="1">
      <c r="B83" s="13">
        <v>82.0</v>
      </c>
      <c r="C83" s="16">
        <f t="shared" si="7"/>
        <v>70747492.8</v>
      </c>
      <c r="D83" s="16">
        <f t="shared" si="8"/>
        <v>169594411357</v>
      </c>
      <c r="E83" s="16" t="str">
        <f t="shared" si="1"/>
        <v>0 h 39 min 57 s</v>
      </c>
      <c r="F83" s="19">
        <f t="shared" ref="F83:G83" si="91">F82*$A$8</f>
        <v>1.83397E+16</v>
      </c>
      <c r="G83" s="20">
        <f t="shared" si="91"/>
        <v>1.83397E+16</v>
      </c>
      <c r="H83" s="19" t="str">
        <f t="shared" si="3"/>
        <v>72007 h 36 min 55 s</v>
      </c>
      <c r="I83" s="20" t="str">
        <f t="shared" si="4"/>
        <v>72007 h 36 min 55 s</v>
      </c>
      <c r="J83" s="14" t="str">
        <f t="shared" si="41"/>
        <v>18001 d 21 h 33 min 13 s</v>
      </c>
      <c r="L83" s="21">
        <f t="shared" si="6"/>
        <v>259227415.4</v>
      </c>
      <c r="M83" s="21">
        <f t="shared" si="10"/>
        <v>1555363993</v>
      </c>
      <c r="O83" s="23">
        <f t="shared" si="11"/>
        <v>550190691250671</v>
      </c>
    </row>
    <row r="84" ht="15.75" customHeight="1">
      <c r="B84" s="13">
        <v>83.0</v>
      </c>
      <c r="C84" s="16">
        <f t="shared" si="7"/>
        <v>88434366</v>
      </c>
      <c r="D84" s="16">
        <f t="shared" si="8"/>
        <v>220472734764</v>
      </c>
      <c r="E84" s="16" t="str">
        <f t="shared" si="1"/>
        <v>0 h 41 min 33 s</v>
      </c>
      <c r="F84" s="19">
        <f t="shared" ref="F84:G84" si="92">F83*$A$8</f>
        <v>2.75095E+16</v>
      </c>
      <c r="G84" s="20">
        <f t="shared" si="92"/>
        <v>2.75095E+16</v>
      </c>
      <c r="H84" s="19" t="str">
        <f t="shared" si="3"/>
        <v>86409 h 08 min 19 s</v>
      </c>
      <c r="I84" s="20" t="str">
        <f t="shared" si="4"/>
        <v>86409 h 08 min 19 s</v>
      </c>
      <c r="J84" s="14" t="str">
        <f t="shared" si="41"/>
        <v>21602 d 6 h 41 min 31 s</v>
      </c>
      <c r="L84" s="21">
        <f t="shared" si="6"/>
        <v>311072898.5</v>
      </c>
      <c r="M84" s="21">
        <f t="shared" si="10"/>
        <v>1866436891</v>
      </c>
      <c r="O84" s="23">
        <f t="shared" si="11"/>
        <v>825286036876007</v>
      </c>
    </row>
    <row r="85" ht="15.75" customHeight="1">
      <c r="B85" s="13">
        <v>84.0</v>
      </c>
      <c r="C85" s="16">
        <f t="shared" si="7"/>
        <v>110542957.5</v>
      </c>
      <c r="D85" s="16">
        <f t="shared" si="8"/>
        <v>286614555193</v>
      </c>
      <c r="E85" s="16" t="str">
        <f t="shared" si="1"/>
        <v>0 h 43 min 13 s</v>
      </c>
      <c r="F85" s="19">
        <f t="shared" ref="F85:G85" si="93">F84*$A$8</f>
        <v>4.12643E+16</v>
      </c>
      <c r="G85" s="20">
        <f t="shared" si="93"/>
        <v>4.12643E+16</v>
      </c>
      <c r="H85" s="19" t="str">
        <f t="shared" si="3"/>
        <v>103690 h 57 min 58 s</v>
      </c>
      <c r="I85" s="20" t="str">
        <f t="shared" si="4"/>
        <v>103690 h 57 min 58 s</v>
      </c>
      <c r="J85" s="14" t="str">
        <f t="shared" si="41"/>
        <v>25922 d 17 h 39 min 29 s</v>
      </c>
      <c r="L85" s="21">
        <f t="shared" si="6"/>
        <v>373287478.2</v>
      </c>
      <c r="M85" s="21">
        <f t="shared" si="10"/>
        <v>2239724369</v>
      </c>
      <c r="O85" s="23">
        <f t="shared" si="11"/>
        <v>1.23793E+15</v>
      </c>
    </row>
    <row r="86" ht="15.75" customHeight="1">
      <c r="B86" s="13">
        <v>85.0</v>
      </c>
      <c r="C86" s="16">
        <f t="shared" si="7"/>
        <v>138178696.9</v>
      </c>
      <c r="D86" s="16">
        <f t="shared" si="8"/>
        <v>372598921751</v>
      </c>
      <c r="E86" s="16" t="str">
        <f t="shared" si="1"/>
        <v>0 h 44 min 57 s</v>
      </c>
      <c r="F86" s="19">
        <f t="shared" ref="F86:G86" si="94">F85*$A$8</f>
        <v>6.18965E+16</v>
      </c>
      <c r="G86" s="20">
        <f t="shared" si="94"/>
        <v>6.18965E+16</v>
      </c>
      <c r="H86" s="19" t="str">
        <f t="shared" si="3"/>
        <v>124429 h 09 min 34 s</v>
      </c>
      <c r="I86" s="20" t="str">
        <f t="shared" si="4"/>
        <v>124429 h 09 min 34 s</v>
      </c>
      <c r="J86" s="14" t="str">
        <f t="shared" si="41"/>
        <v>31107 d 6 h 49 min 03 s</v>
      </c>
      <c r="L86" s="21">
        <f t="shared" si="6"/>
        <v>447944973.9</v>
      </c>
      <c r="M86" s="21">
        <f t="shared" si="10"/>
        <v>2687669343</v>
      </c>
      <c r="O86" s="23">
        <f t="shared" si="11"/>
        <v>1.85689E+15</v>
      </c>
    </row>
    <row r="87" ht="15.75" customHeight="1">
      <c r="B87" s="13">
        <v>86.0</v>
      </c>
      <c r="C87" s="16">
        <f t="shared" si="7"/>
        <v>172723371.1</v>
      </c>
      <c r="D87" s="16">
        <f t="shared" si="8"/>
        <v>484378598276</v>
      </c>
      <c r="E87" s="16" t="str">
        <f t="shared" si="1"/>
        <v>0 h 46 min 44 s</v>
      </c>
      <c r="F87" s="19">
        <f t="shared" ref="F87:G87" si="95">F86*$A$8</f>
        <v>9.28447E+16</v>
      </c>
      <c r="G87" s="20">
        <f t="shared" si="95"/>
        <v>9.28447E+16</v>
      </c>
      <c r="H87" s="19" t="str">
        <f t="shared" si="3"/>
        <v>149314 h 59 min 29 s</v>
      </c>
      <c r="I87" s="20" t="str">
        <f t="shared" si="4"/>
        <v>149314 h 59 min 29 s</v>
      </c>
      <c r="J87" s="14" t="str">
        <f t="shared" si="41"/>
        <v>37328 d 17 h 48 min 32 s</v>
      </c>
      <c r="L87" s="21">
        <f t="shared" si="6"/>
        <v>537533968.7</v>
      </c>
      <c r="M87" s="21">
        <f t="shared" si="10"/>
        <v>3225203312</v>
      </c>
      <c r="O87" s="23">
        <f t="shared" si="11"/>
        <v>2.78534E+15</v>
      </c>
    </row>
    <row r="88" ht="15.75" customHeight="1">
      <c r="B88" s="13">
        <v>87.0</v>
      </c>
      <c r="C88" s="16">
        <f t="shared" si="7"/>
        <v>215904213.9</v>
      </c>
      <c r="D88" s="16">
        <f t="shared" si="8"/>
        <v>629692177759</v>
      </c>
      <c r="E88" s="16" t="str">
        <f t="shared" si="1"/>
        <v>0 h 48 min 37 s</v>
      </c>
      <c r="F88" s="19">
        <f t="shared" ref="F88:G88" si="96">F87*$A$8</f>
        <v>1.39267E+17</v>
      </c>
      <c r="G88" s="20">
        <f t="shared" si="96"/>
        <v>1.39267E+17</v>
      </c>
      <c r="H88" s="19" t="str">
        <f t="shared" si="3"/>
        <v>179177 h 59 min 22 s</v>
      </c>
      <c r="I88" s="20" t="str">
        <f t="shared" si="4"/>
        <v>179177 h 59 min 22 s</v>
      </c>
      <c r="J88" s="14" t="str">
        <f t="shared" si="41"/>
        <v>44794 d 11 h 47 min 54 s</v>
      </c>
      <c r="L88" s="21">
        <f t="shared" si="6"/>
        <v>645040762.4</v>
      </c>
      <c r="M88" s="21">
        <f t="shared" si="10"/>
        <v>3870244074</v>
      </c>
      <c r="O88" s="23">
        <f t="shared" si="11"/>
        <v>4.17801E+15</v>
      </c>
    </row>
    <row r="89" ht="15.75" customHeight="1">
      <c r="B89" s="13">
        <v>88.0</v>
      </c>
      <c r="C89" s="16">
        <f t="shared" si="7"/>
        <v>269880267.3</v>
      </c>
      <c r="D89" s="16">
        <f t="shared" si="8"/>
        <v>818599831086</v>
      </c>
      <c r="E89" s="16" t="str">
        <f t="shared" si="1"/>
        <v>0 h 50 min 33 s</v>
      </c>
      <c r="F89" s="19">
        <f t="shared" ref="F89:G89" si="97">F88*$A$8</f>
        <v>2.08901E+17</v>
      </c>
      <c r="G89" s="20">
        <f t="shared" si="97"/>
        <v>2.08901E+17</v>
      </c>
      <c r="H89" s="19" t="str">
        <f t="shared" si="3"/>
        <v>215013 h 35 min 15 s</v>
      </c>
      <c r="I89" s="20" t="str">
        <f t="shared" si="4"/>
        <v>215013 h 35 min 15 s</v>
      </c>
      <c r="J89" s="14" t="str">
        <f t="shared" si="41"/>
        <v>53753 d 9 h 23 min 09 s</v>
      </c>
      <c r="L89" s="21">
        <f t="shared" si="6"/>
        <v>774048914.9</v>
      </c>
      <c r="M89" s="21">
        <f t="shared" si="10"/>
        <v>4644292989</v>
      </c>
      <c r="O89" s="23">
        <f t="shared" si="11"/>
        <v>6.26702E+15</v>
      </c>
    </row>
    <row r="90" ht="15.75" customHeight="1">
      <c r="B90" s="13">
        <v>89.0</v>
      </c>
      <c r="C90" s="16">
        <f t="shared" si="7"/>
        <v>337350334.2</v>
      </c>
      <c r="D90" s="16">
        <f t="shared" si="8"/>
        <v>1064179780412</v>
      </c>
      <c r="E90" s="16" t="str">
        <f t="shared" si="1"/>
        <v>0 h 52 min 35 s</v>
      </c>
      <c r="F90" s="19">
        <f t="shared" ref="F90:G90" si="98">F89*$A$8</f>
        <v>3.13351E+17</v>
      </c>
      <c r="G90" s="20">
        <f t="shared" si="98"/>
        <v>3.13351E+17</v>
      </c>
      <c r="H90" s="19" t="str">
        <f t="shared" si="3"/>
        <v>258016 h 18 min 18 s</v>
      </c>
      <c r="I90" s="20" t="str">
        <f t="shared" si="4"/>
        <v>258016 h 18 min 18 s</v>
      </c>
      <c r="J90" s="14" t="str">
        <f t="shared" si="41"/>
        <v>64504 d 1 h 41 min 27 s</v>
      </c>
      <c r="L90" s="21">
        <f t="shared" si="6"/>
        <v>928858697.8</v>
      </c>
      <c r="M90" s="21">
        <f t="shared" si="10"/>
        <v>5573151687</v>
      </c>
      <c r="O90" s="23">
        <f t="shared" si="11"/>
        <v>9.40052E+15</v>
      </c>
    </row>
    <row r="91" ht="15.75" customHeight="1">
      <c r="B91" s="13">
        <v>90.0</v>
      </c>
      <c r="C91" s="16">
        <f t="shared" si="7"/>
        <v>421687917.7</v>
      </c>
      <c r="D91" s="16">
        <f t="shared" si="8"/>
        <v>1383433714535</v>
      </c>
      <c r="E91" s="16" t="str">
        <f t="shared" si="1"/>
        <v>0 h 54 min 41 s</v>
      </c>
      <c r="F91" s="19">
        <f t="shared" ref="F91:G91" si="99">F90*$A$8</f>
        <v>4.70026E+17</v>
      </c>
      <c r="G91" s="20">
        <f t="shared" si="99"/>
        <v>4.70026E+17</v>
      </c>
      <c r="H91" s="19" t="str">
        <f t="shared" si="3"/>
        <v>309619 h 33 min 57 s</v>
      </c>
      <c r="I91" s="20" t="str">
        <f t="shared" si="4"/>
        <v>309619 h 33 min 57 s</v>
      </c>
      <c r="J91" s="14" t="str">
        <f t="shared" si="41"/>
        <v>77404 d 21 h 15 min 24 s</v>
      </c>
      <c r="L91" s="21">
        <f t="shared" si="6"/>
        <v>1114630437</v>
      </c>
      <c r="M91" s="21">
        <f t="shared" si="10"/>
        <v>6687782124</v>
      </c>
      <c r="O91" s="23">
        <f t="shared" si="11"/>
        <v>1.41008E+16</v>
      </c>
    </row>
    <row r="92" ht="15.75" customHeight="1">
      <c r="B92" s="13">
        <v>91.0</v>
      </c>
      <c r="C92" s="16">
        <f t="shared" si="7"/>
        <v>527109897.2</v>
      </c>
      <c r="D92" s="16">
        <f t="shared" si="8"/>
        <v>1798463828896</v>
      </c>
      <c r="E92" s="16" t="str">
        <f t="shared" si="1"/>
        <v>0 h 56 min 52 s</v>
      </c>
      <c r="F92" s="19">
        <f t="shared" ref="F92:G92" si="100">F91*$A$8</f>
        <v>7.05039E+17</v>
      </c>
      <c r="G92" s="20">
        <f t="shared" si="100"/>
        <v>7.05039E+17</v>
      </c>
      <c r="H92" s="19" t="str">
        <f t="shared" si="3"/>
        <v>371543 h 28 min 45 s</v>
      </c>
      <c r="I92" s="20" t="str">
        <f t="shared" si="4"/>
        <v>371543 h 28 min 45 s</v>
      </c>
      <c r="J92" s="14" t="str">
        <f t="shared" si="41"/>
        <v>92885 d 20 h 44 min 09 s</v>
      </c>
      <c r="L92" s="21">
        <f t="shared" si="6"/>
        <v>1337556525</v>
      </c>
      <c r="M92" s="21">
        <f t="shared" si="10"/>
        <v>8025338649</v>
      </c>
      <c r="O92" s="23">
        <f t="shared" si="11"/>
        <v>2.11512E+16</v>
      </c>
    </row>
    <row r="93" ht="15.75" customHeight="1">
      <c r="B93" s="13">
        <v>92.0</v>
      </c>
      <c r="C93" s="16">
        <f t="shared" si="7"/>
        <v>658887371.5</v>
      </c>
      <c r="D93" s="16">
        <f t="shared" si="8"/>
        <v>2338002977565</v>
      </c>
      <c r="E93" s="16" t="str">
        <f t="shared" si="1"/>
        <v>0 h 59 min 08 s</v>
      </c>
      <c r="F93" s="19">
        <f t="shared" ref="F93:G93" si="101">F92*$A$8</f>
        <v>1.05756E+18</v>
      </c>
      <c r="G93" s="20">
        <f t="shared" si="101"/>
        <v>1.05756E+18</v>
      </c>
      <c r="H93" s="19" t="str">
        <f t="shared" si="3"/>
        <v>445852 h 10 min 30 s</v>
      </c>
      <c r="I93" s="20" t="str">
        <f t="shared" si="4"/>
        <v>445852 h 10 min 30 s</v>
      </c>
      <c r="J93" s="14" t="str">
        <f t="shared" si="41"/>
        <v>111463 d 0 h 54 min 39 s</v>
      </c>
      <c r="L93" s="21">
        <f t="shared" si="6"/>
        <v>1605067830</v>
      </c>
      <c r="M93" s="21">
        <f t="shared" si="10"/>
        <v>9630406479</v>
      </c>
      <c r="O93" s="23">
        <f t="shared" si="11"/>
        <v>3.17268E+16</v>
      </c>
    </row>
    <row r="94" ht="15.75" customHeight="1">
      <c r="B94" s="13">
        <v>93.0</v>
      </c>
      <c r="C94" s="16">
        <f t="shared" si="7"/>
        <v>823609214.3</v>
      </c>
      <c r="D94" s="16">
        <f t="shared" si="8"/>
        <v>3039403870834</v>
      </c>
      <c r="E94" s="16" t="str">
        <f t="shared" si="1"/>
        <v>1 h 01 min 30 s</v>
      </c>
      <c r="F94" s="19">
        <f t="shared" ref="F94:G94" si="102">F93*$A$8</f>
        <v>1.58634E+18</v>
      </c>
      <c r="G94" s="20">
        <f t="shared" si="102"/>
        <v>1.58634E+18</v>
      </c>
      <c r="H94" s="19" t="str">
        <f t="shared" si="3"/>
        <v>535022 h 36 min 36 s</v>
      </c>
      <c r="I94" s="20" t="str">
        <f t="shared" si="4"/>
        <v>535022 h 36 min 36 s</v>
      </c>
      <c r="J94" s="14" t="str">
        <f t="shared" si="41"/>
        <v>133755 d 15 h 31 min 15 s</v>
      </c>
      <c r="L94" s="21">
        <f t="shared" si="6"/>
        <v>1926081396</v>
      </c>
      <c r="M94" s="21">
        <f t="shared" si="10"/>
        <v>11556487875</v>
      </c>
      <c r="O94" s="23">
        <f t="shared" si="11"/>
        <v>4.75902E+16</v>
      </c>
    </row>
    <row r="95" ht="15.75" customHeight="1">
      <c r="B95" s="13">
        <v>94.0</v>
      </c>
      <c r="C95" s="16">
        <f t="shared" si="7"/>
        <v>1029511518</v>
      </c>
      <c r="D95" s="16">
        <f t="shared" si="8"/>
        <v>3951225032085</v>
      </c>
      <c r="E95" s="16" t="str">
        <f t="shared" si="1"/>
        <v>1 h 03 min 58 s</v>
      </c>
      <c r="F95" s="19">
        <f t="shared" ref="F95:G95" si="103">F94*$A$8</f>
        <v>2.37951E+18</v>
      </c>
      <c r="G95" s="20">
        <f t="shared" si="103"/>
        <v>2.37951E+18</v>
      </c>
      <c r="H95" s="19" t="str">
        <f t="shared" si="3"/>
        <v>642027 h 07 min 55 s</v>
      </c>
      <c r="I95" s="20" t="str">
        <f t="shared" si="4"/>
        <v>642027 h 07 min 55 s</v>
      </c>
      <c r="J95" s="14" t="str">
        <f t="shared" si="41"/>
        <v>160506 d 18 h 39 min 10 s</v>
      </c>
      <c r="L95" s="21">
        <f t="shared" si="6"/>
        <v>2311297675</v>
      </c>
      <c r="M95" s="21">
        <f t="shared" si="10"/>
        <v>13867785550</v>
      </c>
      <c r="O95" s="23">
        <f t="shared" si="11"/>
        <v>7.13852E+16</v>
      </c>
    </row>
    <row r="96" ht="15.75" customHeight="1">
      <c r="B96" s="13">
        <v>95.0</v>
      </c>
      <c r="C96" s="16">
        <f t="shared" si="7"/>
        <v>1286889397</v>
      </c>
      <c r="D96" s="16">
        <f t="shared" si="8"/>
        <v>5136592541710</v>
      </c>
      <c r="E96" s="16" t="str">
        <f t="shared" si="1"/>
        <v>1 h 06 min 31 s</v>
      </c>
      <c r="F96" s="19">
        <f t="shared" ref="F96:G96" si="104">F95*$A$8</f>
        <v>3.56926E+18</v>
      </c>
      <c r="G96" s="20">
        <f t="shared" si="104"/>
        <v>3.56926E+18</v>
      </c>
      <c r="H96" s="19" t="str">
        <f t="shared" si="3"/>
        <v>770432 h 33 min 30 s</v>
      </c>
      <c r="I96" s="20" t="str">
        <f t="shared" si="4"/>
        <v>770432 h 33 min 30 s</v>
      </c>
      <c r="J96" s="14" t="str">
        <f t="shared" si="41"/>
        <v>192608 d 3 h 12 min 40 s</v>
      </c>
      <c r="L96" s="21">
        <f t="shared" si="6"/>
        <v>2773557210</v>
      </c>
      <c r="M96" s="21">
        <f t="shared" si="10"/>
        <v>16641342760</v>
      </c>
      <c r="O96" s="23">
        <f t="shared" si="11"/>
        <v>1.07078E+17</v>
      </c>
    </row>
    <row r="97" ht="15.75" customHeight="1">
      <c r="B97" s="13">
        <v>96.0</v>
      </c>
      <c r="C97" s="16">
        <f t="shared" si="7"/>
        <v>1608611747</v>
      </c>
      <c r="D97" s="16">
        <f t="shared" si="8"/>
        <v>6677570304223</v>
      </c>
      <c r="E97" s="16" t="str">
        <f t="shared" si="1"/>
        <v>1 h 09 min 11 s</v>
      </c>
      <c r="F97" s="19">
        <f t="shared" ref="F97:G97" si="105">F96*$A$8</f>
        <v>5.35389E+18</v>
      </c>
      <c r="G97" s="20">
        <f t="shared" si="105"/>
        <v>5.35389E+18</v>
      </c>
      <c r="H97" s="19" t="str">
        <f t="shared" si="3"/>
        <v>924519 h 04 min 12 s</v>
      </c>
      <c r="I97" s="20" t="str">
        <f t="shared" si="4"/>
        <v>924519 h 04 min 12 s</v>
      </c>
      <c r="J97" s="14" t="str">
        <f t="shared" si="41"/>
        <v>231129 d 18 h 16 min 52 s</v>
      </c>
      <c r="L97" s="21">
        <f t="shared" si="6"/>
        <v>3328268652</v>
      </c>
      <c r="M97" s="21">
        <f t="shared" si="10"/>
        <v>19969611412</v>
      </c>
      <c r="O97" s="23">
        <f t="shared" si="11"/>
        <v>1.60617E+17</v>
      </c>
    </row>
    <row r="98" ht="15.75" customHeight="1">
      <c r="B98" s="13">
        <v>97.0</v>
      </c>
      <c r="C98" s="16">
        <f t="shared" si="7"/>
        <v>2010764683</v>
      </c>
      <c r="D98" s="16">
        <f t="shared" si="8"/>
        <v>8680841395490</v>
      </c>
      <c r="E98" s="16" t="str">
        <f t="shared" si="1"/>
        <v>1 h 11 min 57 s</v>
      </c>
      <c r="F98" s="19">
        <f t="shared" ref="F98:G98" si="106">F97*$A$8</f>
        <v>8.03084E+18</v>
      </c>
      <c r="G98" s="20">
        <f t="shared" si="106"/>
        <v>8.03084E+18</v>
      </c>
      <c r="H98" s="19" t="str">
        <f t="shared" si="3"/>
        <v>1109422 h 53 min 02 s</v>
      </c>
      <c r="I98" s="20" t="str">
        <f t="shared" si="4"/>
        <v>1109422 h 53 min 02 s</v>
      </c>
      <c r="J98" s="14" t="str">
        <f t="shared" si="41"/>
        <v>277355 d 17 h 09 min 55 s</v>
      </c>
      <c r="L98" s="21">
        <f t="shared" si="6"/>
        <v>3993922382</v>
      </c>
      <c r="M98" s="21">
        <f t="shared" si="10"/>
        <v>23963533795</v>
      </c>
      <c r="O98" s="23">
        <f t="shared" si="11"/>
        <v>2.40925E+17</v>
      </c>
    </row>
    <row r="99" ht="15.75" customHeight="1">
      <c r="B99" s="13">
        <v>98.0</v>
      </c>
      <c r="C99" s="16">
        <f t="shared" si="7"/>
        <v>2513455854</v>
      </c>
      <c r="D99" s="16">
        <f t="shared" si="8"/>
        <v>11285093814137</v>
      </c>
      <c r="E99" s="16" t="str">
        <f t="shared" si="1"/>
        <v>1 h 14 min 50 s</v>
      </c>
      <c r="F99" s="19">
        <f t="shared" ref="F99:G99" si="107">F98*$A$8</f>
        <v>1.20463E+19</v>
      </c>
      <c r="G99" s="20">
        <f t="shared" si="107"/>
        <v>1.20463E+19</v>
      </c>
      <c r="H99" s="19" t="str">
        <f t="shared" si="3"/>
        <v>1331307 h 27 min 39 s</v>
      </c>
      <c r="I99" s="20" t="str">
        <f t="shared" si="4"/>
        <v>1331307 h 27 min 39 s</v>
      </c>
      <c r="J99" s="14" t="str">
        <f t="shared" si="41"/>
        <v>332826 d 20 h 37 min 33 s</v>
      </c>
      <c r="L99" s="21">
        <f t="shared" si="6"/>
        <v>4792706859</v>
      </c>
      <c r="M99" s="21">
        <f t="shared" si="10"/>
        <v>28756240653</v>
      </c>
      <c r="O99" s="23">
        <f t="shared" si="11"/>
        <v>3.61388E+17</v>
      </c>
    </row>
    <row r="100" ht="15.75" customHeight="1">
      <c r="B100" s="13">
        <v>99.0</v>
      </c>
      <c r="C100" s="16">
        <f t="shared" si="7"/>
        <v>3141819818</v>
      </c>
      <c r="D100" s="16">
        <f t="shared" si="8"/>
        <v>14670621958379</v>
      </c>
      <c r="E100" s="16" t="str">
        <f t="shared" si="1"/>
        <v>1 h 17 min 49 s</v>
      </c>
      <c r="F100" s="19">
        <f t="shared" ref="F100:G100" si="108">F99*$A$8</f>
        <v>1.80694E+19</v>
      </c>
      <c r="G100" s="20">
        <f t="shared" si="108"/>
        <v>1.80694E+19</v>
      </c>
      <c r="H100" s="19" t="str">
        <f t="shared" si="3"/>
        <v>1597568 h 57 min 11 s</v>
      </c>
      <c r="I100" s="20" t="str">
        <f t="shared" si="4"/>
        <v>1597568 h 57 min 11 s</v>
      </c>
      <c r="J100" s="14" t="str">
        <f t="shared" si="41"/>
        <v>399392 d 5 h 34 min 44 s</v>
      </c>
      <c r="L100" s="21">
        <f t="shared" si="6"/>
        <v>5751248231</v>
      </c>
      <c r="M100" s="21">
        <f t="shared" si="10"/>
        <v>34507488884</v>
      </c>
      <c r="O100" s="23">
        <f t="shared" si="11"/>
        <v>5.42082E+17</v>
      </c>
    </row>
    <row r="101" ht="15.75" customHeight="1">
      <c r="B101" s="13"/>
      <c r="D101" s="16"/>
      <c r="E101" s="16"/>
      <c r="F101" s="19"/>
      <c r="G101" s="20"/>
      <c r="H101" s="24"/>
      <c r="I101" s="25"/>
    </row>
    <row r="102" ht="15.75" customHeight="1">
      <c r="B102" s="13"/>
      <c r="D102" s="16"/>
      <c r="E102" s="16"/>
      <c r="F102" s="19"/>
      <c r="G102" s="20"/>
      <c r="H102" s="24"/>
      <c r="I102" s="25"/>
    </row>
    <row r="103" ht="15.75" customHeight="1">
      <c r="B103" s="13"/>
      <c r="D103" s="16"/>
      <c r="E103" s="16"/>
      <c r="F103" s="19"/>
      <c r="G103" s="20"/>
      <c r="H103" s="24"/>
      <c r="I103" s="25"/>
    </row>
    <row r="104" ht="15.75" customHeight="1">
      <c r="B104" s="13"/>
      <c r="D104" s="16"/>
      <c r="E104" s="16"/>
      <c r="F104" s="19"/>
      <c r="G104" s="20"/>
      <c r="H104" s="24"/>
      <c r="I104" s="25"/>
    </row>
    <row r="105" ht="15.75" customHeight="1">
      <c r="B105" s="13"/>
      <c r="D105" s="16"/>
      <c r="E105" s="16"/>
      <c r="F105" s="19"/>
      <c r="G105" s="20"/>
      <c r="H105" s="24"/>
      <c r="I105" s="25"/>
    </row>
    <row r="106" ht="15.75" customHeight="1">
      <c r="B106" s="13"/>
      <c r="D106" s="16"/>
      <c r="E106" s="16"/>
      <c r="F106" s="19"/>
      <c r="G106" s="20"/>
      <c r="H106" s="24"/>
      <c r="I106" s="25"/>
    </row>
    <row r="107" ht="15.75" customHeight="1">
      <c r="B107" s="13"/>
      <c r="D107" s="16"/>
      <c r="E107" s="16"/>
      <c r="F107" s="19"/>
      <c r="G107" s="20"/>
      <c r="H107" s="24"/>
      <c r="I107" s="25"/>
    </row>
    <row r="108" ht="15.75" customHeight="1">
      <c r="B108" s="13"/>
      <c r="D108" s="16"/>
      <c r="E108" s="16"/>
      <c r="F108" s="19"/>
      <c r="G108" s="20"/>
      <c r="H108" s="24"/>
      <c r="I108" s="25"/>
    </row>
    <row r="109" ht="15.75" customHeight="1">
      <c r="B109" s="13"/>
      <c r="D109" s="16"/>
      <c r="E109" s="16"/>
      <c r="F109" s="19"/>
      <c r="G109" s="20"/>
      <c r="H109" s="24"/>
      <c r="I109" s="25"/>
    </row>
    <row r="110" ht="15.75" customHeight="1">
      <c r="B110" s="13"/>
      <c r="D110" s="16"/>
      <c r="E110" s="16"/>
      <c r="F110" s="19"/>
      <c r="G110" s="20"/>
      <c r="H110" s="24"/>
      <c r="I110" s="25"/>
    </row>
    <row r="111" ht="15.75" customHeight="1">
      <c r="B111" s="13"/>
      <c r="D111" s="16"/>
      <c r="E111" s="16"/>
      <c r="F111" s="19"/>
      <c r="G111" s="20"/>
      <c r="H111" s="24"/>
      <c r="I111" s="25"/>
    </row>
    <row r="112" ht="15.75" customHeight="1">
      <c r="B112" s="13"/>
      <c r="D112" s="16"/>
      <c r="E112" s="16"/>
      <c r="F112" s="19"/>
      <c r="G112" s="20"/>
      <c r="H112" s="24"/>
      <c r="I112" s="25"/>
    </row>
    <row r="113" ht="15.75" customHeight="1">
      <c r="B113" s="13"/>
      <c r="D113" s="16"/>
      <c r="E113" s="16"/>
      <c r="F113" s="19"/>
      <c r="G113" s="20"/>
      <c r="H113" s="24"/>
      <c r="I113" s="25"/>
    </row>
    <row r="114" ht="15.75" customHeight="1">
      <c r="B114" s="13"/>
      <c r="D114" s="16"/>
      <c r="E114" s="16"/>
      <c r="F114" s="19"/>
      <c r="G114" s="20"/>
      <c r="H114" s="24"/>
      <c r="I114" s="25"/>
    </row>
    <row r="115" ht="15.75" customHeight="1">
      <c r="B115" s="13"/>
      <c r="D115" s="16"/>
      <c r="E115" s="16"/>
      <c r="F115" s="19"/>
      <c r="G115" s="20"/>
      <c r="H115" s="24"/>
      <c r="I115" s="25"/>
    </row>
    <row r="116" ht="15.75" customHeight="1">
      <c r="B116" s="13"/>
      <c r="D116" s="16"/>
      <c r="E116" s="16"/>
      <c r="F116" s="19"/>
      <c r="G116" s="20"/>
      <c r="H116" s="24"/>
      <c r="I116" s="25"/>
    </row>
    <row r="117" ht="15.75" customHeight="1">
      <c r="B117" s="13"/>
      <c r="D117" s="16"/>
      <c r="E117" s="16"/>
      <c r="F117" s="19"/>
      <c r="G117" s="20"/>
      <c r="H117" s="24"/>
      <c r="I117" s="25"/>
    </row>
    <row r="118" ht="15.75" customHeight="1">
      <c r="B118" s="13"/>
      <c r="D118" s="16"/>
      <c r="E118" s="16"/>
      <c r="F118" s="19"/>
      <c r="G118" s="20"/>
      <c r="H118" s="24"/>
      <c r="I118" s="25"/>
    </row>
    <row r="119" ht="15.75" customHeight="1">
      <c r="B119" s="13"/>
      <c r="D119" s="16"/>
      <c r="E119" s="16"/>
      <c r="F119" s="19"/>
      <c r="G119" s="20"/>
      <c r="H119" s="24"/>
      <c r="I119" s="25"/>
    </row>
    <row r="120" ht="15.75" customHeight="1">
      <c r="B120" s="13"/>
      <c r="D120" s="16"/>
      <c r="E120" s="16"/>
      <c r="F120" s="19"/>
      <c r="G120" s="20"/>
      <c r="H120" s="24"/>
      <c r="I120" s="25"/>
    </row>
    <row r="121" ht="15.75" customHeight="1">
      <c r="B121" s="13"/>
      <c r="D121" s="16"/>
      <c r="E121" s="16"/>
      <c r="F121" s="19"/>
      <c r="G121" s="20"/>
      <c r="H121" s="24"/>
      <c r="I121" s="25"/>
    </row>
    <row r="122" ht="15.75" customHeight="1">
      <c r="B122" s="13"/>
      <c r="D122" s="16"/>
      <c r="E122" s="16"/>
      <c r="F122" s="19"/>
      <c r="G122" s="20"/>
      <c r="H122" s="24"/>
      <c r="I122" s="25"/>
    </row>
    <row r="123" ht="15.75" customHeight="1">
      <c r="B123" s="13"/>
      <c r="D123" s="16"/>
      <c r="E123" s="16"/>
      <c r="F123" s="19"/>
      <c r="G123" s="20"/>
      <c r="H123" s="24"/>
      <c r="I123" s="25"/>
    </row>
    <row r="124" ht="15.75" customHeight="1">
      <c r="B124" s="13"/>
      <c r="D124" s="16"/>
      <c r="E124" s="16"/>
      <c r="F124" s="19"/>
      <c r="G124" s="20"/>
      <c r="H124" s="24"/>
      <c r="I124" s="25"/>
    </row>
    <row r="125" ht="15.75" customHeight="1">
      <c r="B125" s="13"/>
      <c r="D125" s="16"/>
      <c r="E125" s="16"/>
      <c r="F125" s="19"/>
      <c r="G125" s="20"/>
      <c r="H125" s="24"/>
      <c r="I125" s="25"/>
    </row>
    <row r="126" ht="15.75" customHeight="1">
      <c r="B126" s="13"/>
      <c r="D126" s="16"/>
      <c r="E126" s="16"/>
      <c r="F126" s="19"/>
      <c r="G126" s="20"/>
      <c r="H126" s="24"/>
      <c r="I126" s="25"/>
    </row>
    <row r="127" ht="15.75" customHeight="1">
      <c r="B127" s="13"/>
      <c r="D127" s="16"/>
      <c r="E127" s="16"/>
      <c r="F127" s="19"/>
      <c r="G127" s="20"/>
      <c r="H127" s="24"/>
      <c r="I127" s="25"/>
    </row>
    <row r="128" ht="15.75" customHeight="1">
      <c r="B128" s="13"/>
      <c r="D128" s="16"/>
      <c r="E128" s="16"/>
      <c r="F128" s="19"/>
      <c r="G128" s="20"/>
      <c r="H128" s="24"/>
      <c r="I128" s="25"/>
    </row>
    <row r="129" ht="15.75" customHeight="1">
      <c r="B129" s="13"/>
      <c r="D129" s="16"/>
      <c r="E129" s="16"/>
      <c r="F129" s="19"/>
      <c r="G129" s="20"/>
      <c r="H129" s="24"/>
      <c r="I129" s="25"/>
    </row>
    <row r="130" ht="15.75" customHeight="1">
      <c r="B130" s="13"/>
      <c r="D130" s="16"/>
      <c r="E130" s="16"/>
      <c r="F130" s="19"/>
      <c r="G130" s="20"/>
      <c r="H130" s="24"/>
      <c r="I130" s="25"/>
    </row>
    <row r="131" ht="15.75" customHeight="1">
      <c r="B131" s="13"/>
      <c r="D131" s="16"/>
      <c r="E131" s="16"/>
      <c r="F131" s="19"/>
      <c r="G131" s="20"/>
      <c r="H131" s="24"/>
      <c r="I131" s="25"/>
    </row>
    <row r="132" ht="15.75" customHeight="1">
      <c r="B132" s="13"/>
      <c r="D132" s="16"/>
      <c r="E132" s="16"/>
      <c r="F132" s="19"/>
      <c r="G132" s="20"/>
      <c r="H132" s="24"/>
      <c r="I132" s="25"/>
    </row>
    <row r="133" ht="15.75" customHeight="1">
      <c r="B133" s="13"/>
      <c r="D133" s="16"/>
      <c r="E133" s="16"/>
      <c r="F133" s="19"/>
      <c r="G133" s="20"/>
      <c r="H133" s="24"/>
      <c r="I133" s="25"/>
    </row>
    <row r="134" ht="15.75" customHeight="1">
      <c r="B134" s="13"/>
      <c r="D134" s="16"/>
      <c r="E134" s="16"/>
      <c r="F134" s="19"/>
      <c r="G134" s="20"/>
      <c r="H134" s="24"/>
      <c r="I134" s="25"/>
    </row>
    <row r="135" ht="15.75" customHeight="1">
      <c r="B135" s="13"/>
      <c r="D135" s="16"/>
      <c r="E135" s="16"/>
      <c r="F135" s="19"/>
      <c r="G135" s="20"/>
      <c r="H135" s="24"/>
      <c r="I135" s="25"/>
    </row>
    <row r="136" ht="15.75" customHeight="1">
      <c r="B136" s="13"/>
      <c r="D136" s="16"/>
      <c r="E136" s="16"/>
      <c r="F136" s="19"/>
      <c r="G136" s="20"/>
      <c r="H136" s="24"/>
      <c r="I136" s="25"/>
    </row>
    <row r="137" ht="15.75" customHeight="1">
      <c r="B137" s="13"/>
      <c r="D137" s="16"/>
      <c r="E137" s="16"/>
      <c r="F137" s="19"/>
      <c r="G137" s="20"/>
      <c r="H137" s="24"/>
      <c r="I137" s="25"/>
    </row>
    <row r="138" ht="15.75" customHeight="1">
      <c r="B138" s="13"/>
      <c r="D138" s="16"/>
      <c r="E138" s="16"/>
      <c r="F138" s="19"/>
      <c r="G138" s="20"/>
      <c r="H138" s="24"/>
      <c r="I138" s="25"/>
    </row>
    <row r="139" ht="15.75" customHeight="1">
      <c r="B139" s="13"/>
      <c r="D139" s="16"/>
      <c r="E139" s="16"/>
      <c r="F139" s="19"/>
      <c r="G139" s="20"/>
      <c r="H139" s="24"/>
      <c r="I139" s="25"/>
    </row>
    <row r="140" ht="15.75" customHeight="1">
      <c r="B140" s="13"/>
      <c r="D140" s="16"/>
      <c r="E140" s="16"/>
      <c r="F140" s="19"/>
      <c r="G140" s="20"/>
      <c r="H140" s="24"/>
      <c r="I140" s="25"/>
    </row>
    <row r="141" ht="15.75" customHeight="1">
      <c r="B141" s="13"/>
      <c r="D141" s="16"/>
      <c r="E141" s="16"/>
      <c r="F141" s="19"/>
      <c r="G141" s="20"/>
      <c r="H141" s="24"/>
      <c r="I141" s="25"/>
    </row>
    <row r="142" ht="15.75" customHeight="1">
      <c r="B142" s="13"/>
      <c r="D142" s="16"/>
      <c r="E142" s="16"/>
      <c r="F142" s="19"/>
      <c r="G142" s="20"/>
      <c r="H142" s="24"/>
      <c r="I142" s="25"/>
    </row>
    <row r="143" ht="15.75" customHeight="1">
      <c r="B143" s="13"/>
      <c r="D143" s="16"/>
      <c r="E143" s="16"/>
      <c r="F143" s="19"/>
      <c r="G143" s="20"/>
      <c r="H143" s="24"/>
      <c r="I143" s="25"/>
    </row>
    <row r="144" ht="15.75" customHeight="1">
      <c r="B144" s="13"/>
      <c r="D144" s="16"/>
      <c r="E144" s="16"/>
      <c r="F144" s="19"/>
      <c r="G144" s="20"/>
      <c r="H144" s="24"/>
      <c r="I144" s="25"/>
    </row>
    <row r="145" ht="15.75" customHeight="1">
      <c r="B145" s="13"/>
      <c r="D145" s="16"/>
      <c r="E145" s="16"/>
      <c r="F145" s="19"/>
      <c r="G145" s="20"/>
      <c r="H145" s="24"/>
      <c r="I145" s="25"/>
    </row>
    <row r="146" ht="15.75" customHeight="1">
      <c r="B146" s="13"/>
      <c r="D146" s="16"/>
      <c r="E146" s="16"/>
      <c r="F146" s="19"/>
      <c r="G146" s="20"/>
      <c r="H146" s="24"/>
      <c r="I146" s="25"/>
    </row>
    <row r="147" ht="15.75" customHeight="1">
      <c r="B147" s="13"/>
      <c r="D147" s="16"/>
      <c r="E147" s="16"/>
      <c r="F147" s="19"/>
      <c r="G147" s="20"/>
      <c r="H147" s="24"/>
      <c r="I147" s="25"/>
    </row>
    <row r="148" ht="15.75" customHeight="1">
      <c r="B148" s="13"/>
      <c r="D148" s="16"/>
      <c r="E148" s="16"/>
      <c r="F148" s="19"/>
      <c r="G148" s="20"/>
      <c r="H148" s="24"/>
      <c r="I148" s="25"/>
    </row>
    <row r="149" ht="15.75" customHeight="1">
      <c r="B149" s="13"/>
      <c r="D149" s="16"/>
      <c r="E149" s="16"/>
      <c r="F149" s="19"/>
      <c r="G149" s="20"/>
      <c r="H149" s="24"/>
      <c r="I149" s="25"/>
    </row>
    <row r="150" ht="15.75" customHeight="1">
      <c r="B150" s="13"/>
      <c r="D150" s="16"/>
      <c r="E150" s="16"/>
      <c r="F150" s="19"/>
      <c r="G150" s="20"/>
      <c r="H150" s="24"/>
      <c r="I150" s="25"/>
    </row>
    <row r="151" ht="15.75" customHeight="1">
      <c r="B151" s="13"/>
      <c r="D151" s="16"/>
      <c r="E151" s="16"/>
      <c r="F151" s="19"/>
      <c r="G151" s="20"/>
      <c r="H151" s="24"/>
      <c r="I151" s="25"/>
    </row>
    <row r="152" ht="15.75" customHeight="1">
      <c r="B152" s="13"/>
      <c r="D152" s="16"/>
      <c r="E152" s="16"/>
      <c r="F152" s="19"/>
      <c r="G152" s="20"/>
      <c r="H152" s="24"/>
      <c r="I152" s="25"/>
    </row>
    <row r="153" ht="15.75" customHeight="1">
      <c r="B153" s="13"/>
      <c r="D153" s="16"/>
      <c r="E153" s="16"/>
      <c r="F153" s="19"/>
      <c r="G153" s="20"/>
      <c r="H153" s="24"/>
      <c r="I153" s="25"/>
    </row>
    <row r="154" ht="15.75" customHeight="1">
      <c r="B154" s="13"/>
      <c r="D154" s="16"/>
      <c r="E154" s="16"/>
      <c r="F154" s="19"/>
      <c r="G154" s="20"/>
      <c r="H154" s="24"/>
      <c r="I154" s="25"/>
    </row>
    <row r="155" ht="15.75" customHeight="1">
      <c r="B155" s="13"/>
      <c r="D155" s="16"/>
      <c r="E155" s="16"/>
      <c r="F155" s="19"/>
      <c r="G155" s="20"/>
      <c r="H155" s="24"/>
      <c r="I155" s="25"/>
    </row>
    <row r="156" ht="15.75" customHeight="1">
      <c r="B156" s="13"/>
      <c r="D156" s="16"/>
      <c r="E156" s="16"/>
      <c r="F156" s="19"/>
      <c r="G156" s="20"/>
      <c r="H156" s="24"/>
      <c r="I156" s="25"/>
    </row>
    <row r="157" ht="15.75" customHeight="1">
      <c r="B157" s="13"/>
      <c r="D157" s="16"/>
      <c r="E157" s="16"/>
      <c r="F157" s="19"/>
      <c r="G157" s="20"/>
      <c r="H157" s="24"/>
      <c r="I157" s="25"/>
    </row>
    <row r="158" ht="15.75" customHeight="1">
      <c r="B158" s="13"/>
      <c r="D158" s="16"/>
      <c r="E158" s="16"/>
      <c r="F158" s="19"/>
      <c r="G158" s="20"/>
      <c r="H158" s="24"/>
      <c r="I158" s="25"/>
    </row>
    <row r="159" ht="15.75" customHeight="1">
      <c r="B159" s="13"/>
      <c r="D159" s="16"/>
      <c r="E159" s="16"/>
      <c r="F159" s="19"/>
      <c r="G159" s="20"/>
      <c r="H159" s="24"/>
      <c r="I159" s="25"/>
    </row>
    <row r="160" ht="15.75" customHeight="1">
      <c r="B160" s="13"/>
      <c r="D160" s="16"/>
      <c r="E160" s="16"/>
      <c r="F160" s="19"/>
      <c r="G160" s="20"/>
      <c r="H160" s="24"/>
      <c r="I160" s="25"/>
    </row>
    <row r="161" ht="15.75" customHeight="1">
      <c r="B161" s="13"/>
      <c r="D161" s="16"/>
      <c r="E161" s="16"/>
      <c r="F161" s="19"/>
      <c r="G161" s="20"/>
      <c r="H161" s="24"/>
      <c r="I161" s="25"/>
    </row>
    <row r="162" ht="15.75" customHeight="1">
      <c r="B162" s="13"/>
      <c r="D162" s="16"/>
      <c r="E162" s="16"/>
      <c r="F162" s="19"/>
      <c r="G162" s="20"/>
      <c r="H162" s="24"/>
      <c r="I162" s="25"/>
    </row>
    <row r="163" ht="15.75" customHeight="1">
      <c r="B163" s="13"/>
      <c r="D163" s="16"/>
      <c r="E163" s="16"/>
      <c r="F163" s="19"/>
      <c r="G163" s="20"/>
      <c r="H163" s="24"/>
      <c r="I163" s="25"/>
    </row>
    <row r="164" ht="15.75" customHeight="1">
      <c r="B164" s="13"/>
      <c r="D164" s="16"/>
      <c r="E164" s="16"/>
      <c r="F164" s="19"/>
      <c r="G164" s="20"/>
      <c r="H164" s="24"/>
      <c r="I164" s="25"/>
    </row>
    <row r="165" ht="15.75" customHeight="1">
      <c r="B165" s="13"/>
      <c r="D165" s="16"/>
      <c r="E165" s="16"/>
      <c r="F165" s="19"/>
      <c r="G165" s="20"/>
      <c r="H165" s="24"/>
      <c r="I165" s="25"/>
    </row>
    <row r="166" ht="15.75" customHeight="1">
      <c r="B166" s="13"/>
      <c r="D166" s="16"/>
      <c r="E166" s="16"/>
      <c r="F166" s="19"/>
      <c r="G166" s="20"/>
      <c r="H166" s="24"/>
      <c r="I166" s="25"/>
    </row>
    <row r="167" ht="15.75" customHeight="1">
      <c r="B167" s="13"/>
      <c r="D167" s="16"/>
      <c r="E167" s="16"/>
      <c r="F167" s="19"/>
      <c r="G167" s="20"/>
      <c r="H167" s="24"/>
      <c r="I167" s="25"/>
    </row>
    <row r="168" ht="15.75" customHeight="1">
      <c r="B168" s="13"/>
      <c r="D168" s="16"/>
      <c r="E168" s="16"/>
      <c r="F168" s="19"/>
      <c r="G168" s="20"/>
      <c r="H168" s="24"/>
      <c r="I168" s="25"/>
    </row>
    <row r="169" ht="15.75" customHeight="1">
      <c r="B169" s="13"/>
      <c r="D169" s="16"/>
      <c r="E169" s="16"/>
      <c r="F169" s="19"/>
      <c r="G169" s="20"/>
      <c r="H169" s="24"/>
      <c r="I169" s="25"/>
    </row>
    <row r="170" ht="15.75" customHeight="1">
      <c r="B170" s="13"/>
      <c r="D170" s="16"/>
      <c r="E170" s="16"/>
      <c r="F170" s="19"/>
      <c r="G170" s="20"/>
      <c r="H170" s="24"/>
      <c r="I170" s="25"/>
    </row>
    <row r="171" ht="15.75" customHeight="1">
      <c r="B171" s="13"/>
      <c r="D171" s="16"/>
      <c r="E171" s="16"/>
      <c r="F171" s="19"/>
      <c r="G171" s="20"/>
      <c r="H171" s="24"/>
      <c r="I171" s="25"/>
    </row>
    <row r="172" ht="15.75" customHeight="1">
      <c r="B172" s="13"/>
      <c r="D172" s="16"/>
      <c r="E172" s="16"/>
      <c r="F172" s="19"/>
      <c r="G172" s="20"/>
      <c r="H172" s="24"/>
      <c r="I172" s="25"/>
    </row>
    <row r="173" ht="15.75" customHeight="1">
      <c r="B173" s="13"/>
      <c r="D173" s="16"/>
      <c r="E173" s="16"/>
      <c r="F173" s="19"/>
      <c r="G173" s="20"/>
      <c r="H173" s="24"/>
      <c r="I173" s="25"/>
    </row>
    <row r="174" ht="15.75" customHeight="1">
      <c r="B174" s="13"/>
      <c r="D174" s="16"/>
      <c r="E174" s="16"/>
      <c r="F174" s="19"/>
      <c r="G174" s="20"/>
      <c r="H174" s="24"/>
      <c r="I174" s="25"/>
    </row>
    <row r="175" ht="15.75" customHeight="1">
      <c r="B175" s="13"/>
      <c r="D175" s="16"/>
      <c r="E175" s="16"/>
      <c r="F175" s="19"/>
      <c r="G175" s="20"/>
      <c r="H175" s="24"/>
      <c r="I175" s="25"/>
    </row>
    <row r="176" ht="15.75" customHeight="1">
      <c r="B176" s="13"/>
      <c r="D176" s="16"/>
      <c r="E176" s="16"/>
      <c r="F176" s="19"/>
      <c r="G176" s="20"/>
      <c r="H176" s="24"/>
      <c r="I176" s="25"/>
    </row>
    <row r="177" ht="15.75" customHeight="1">
      <c r="B177" s="13"/>
      <c r="D177" s="16"/>
      <c r="E177" s="16"/>
      <c r="F177" s="19"/>
      <c r="G177" s="20"/>
      <c r="H177" s="24"/>
      <c r="I177" s="25"/>
    </row>
    <row r="178" ht="15.75" customHeight="1">
      <c r="B178" s="13"/>
      <c r="D178" s="16"/>
      <c r="E178" s="16"/>
      <c r="F178" s="19"/>
      <c r="G178" s="20"/>
      <c r="H178" s="24"/>
      <c r="I178" s="25"/>
    </row>
    <row r="179" ht="15.75" customHeight="1">
      <c r="B179" s="13"/>
      <c r="D179" s="16"/>
      <c r="E179" s="16"/>
      <c r="F179" s="19"/>
      <c r="G179" s="20"/>
      <c r="H179" s="24"/>
      <c r="I179" s="25"/>
    </row>
    <row r="180" ht="15.75" customHeight="1">
      <c r="B180" s="13"/>
      <c r="D180" s="16"/>
      <c r="E180" s="16"/>
      <c r="F180" s="19"/>
      <c r="G180" s="20"/>
      <c r="H180" s="24"/>
      <c r="I180" s="25"/>
    </row>
    <row r="181" ht="15.75" customHeight="1">
      <c r="B181" s="13"/>
      <c r="D181" s="16"/>
      <c r="E181" s="16"/>
      <c r="F181" s="19"/>
      <c r="G181" s="20"/>
      <c r="H181" s="24"/>
      <c r="I181" s="25"/>
    </row>
    <row r="182" ht="15.75" customHeight="1">
      <c r="B182" s="13"/>
      <c r="D182" s="16"/>
      <c r="E182" s="16"/>
      <c r="F182" s="19"/>
      <c r="G182" s="20"/>
      <c r="H182" s="24"/>
      <c r="I182" s="25"/>
    </row>
    <row r="183" ht="15.75" customHeight="1">
      <c r="B183" s="13"/>
      <c r="D183" s="16"/>
      <c r="E183" s="16"/>
      <c r="F183" s="19"/>
      <c r="G183" s="20"/>
      <c r="H183" s="24"/>
      <c r="I183" s="25"/>
    </row>
    <row r="184" ht="15.75" customHeight="1">
      <c r="B184" s="13"/>
      <c r="D184" s="16"/>
      <c r="E184" s="16"/>
      <c r="F184" s="19"/>
      <c r="G184" s="20"/>
      <c r="H184" s="24"/>
      <c r="I184" s="25"/>
    </row>
    <row r="185" ht="15.75" customHeight="1">
      <c r="B185" s="13"/>
      <c r="D185" s="16"/>
      <c r="E185" s="16"/>
      <c r="F185" s="19"/>
      <c r="G185" s="20"/>
      <c r="H185" s="24"/>
      <c r="I185" s="25"/>
    </row>
    <row r="186" ht="15.75" customHeight="1">
      <c r="B186" s="13"/>
      <c r="D186" s="16"/>
      <c r="E186" s="16"/>
      <c r="F186" s="19"/>
      <c r="G186" s="20"/>
      <c r="H186" s="24"/>
      <c r="I186" s="25"/>
    </row>
    <row r="187" ht="15.75" customHeight="1">
      <c r="B187" s="13"/>
      <c r="D187" s="16"/>
      <c r="E187" s="16"/>
      <c r="F187" s="19"/>
      <c r="G187" s="20"/>
      <c r="H187" s="24"/>
      <c r="I187" s="25"/>
    </row>
    <row r="188" ht="15.75" customHeight="1">
      <c r="B188" s="13"/>
      <c r="D188" s="16"/>
      <c r="E188" s="16"/>
      <c r="F188" s="19"/>
      <c r="G188" s="20"/>
      <c r="H188" s="24"/>
      <c r="I188" s="25"/>
    </row>
    <row r="189" ht="15.75" customHeight="1">
      <c r="B189" s="13"/>
      <c r="D189" s="16"/>
      <c r="E189" s="16"/>
      <c r="F189" s="19"/>
      <c r="G189" s="20"/>
      <c r="H189" s="24"/>
      <c r="I189" s="25"/>
    </row>
    <row r="190" ht="15.75" customHeight="1">
      <c r="B190" s="13"/>
      <c r="D190" s="16"/>
      <c r="E190" s="16"/>
      <c r="F190" s="19"/>
      <c r="G190" s="20"/>
      <c r="H190" s="24"/>
      <c r="I190" s="25"/>
    </row>
    <row r="191" ht="15.75" customHeight="1">
      <c r="B191" s="13"/>
      <c r="D191" s="16"/>
      <c r="E191" s="16"/>
      <c r="F191" s="19"/>
      <c r="G191" s="20"/>
      <c r="H191" s="24"/>
      <c r="I191" s="25"/>
    </row>
    <row r="192" ht="15.75" customHeight="1">
      <c r="B192" s="13"/>
      <c r="D192" s="16"/>
      <c r="E192" s="16"/>
      <c r="F192" s="19"/>
      <c r="G192" s="20"/>
      <c r="H192" s="24"/>
      <c r="I192" s="25"/>
    </row>
    <row r="193" ht="15.75" customHeight="1">
      <c r="B193" s="13"/>
      <c r="D193" s="16"/>
      <c r="E193" s="16"/>
      <c r="F193" s="19"/>
      <c r="G193" s="20"/>
      <c r="H193" s="24"/>
      <c r="I193" s="25"/>
    </row>
    <row r="194" ht="15.75" customHeight="1">
      <c r="B194" s="13"/>
      <c r="D194" s="16"/>
      <c r="E194" s="16"/>
      <c r="F194" s="19"/>
      <c r="G194" s="20"/>
      <c r="H194" s="24"/>
      <c r="I194" s="25"/>
    </row>
    <row r="195" ht="15.75" customHeight="1">
      <c r="B195" s="13"/>
      <c r="D195" s="16"/>
      <c r="E195" s="16"/>
      <c r="F195" s="19"/>
      <c r="G195" s="20"/>
      <c r="H195" s="24"/>
      <c r="I195" s="25"/>
    </row>
    <row r="196" ht="15.75" customHeight="1">
      <c r="B196" s="13"/>
      <c r="D196" s="16"/>
      <c r="E196" s="16"/>
      <c r="F196" s="19"/>
      <c r="G196" s="20"/>
      <c r="H196" s="24"/>
      <c r="I196" s="25"/>
    </row>
    <row r="197" ht="15.75" customHeight="1">
      <c r="B197" s="13"/>
      <c r="D197" s="16"/>
      <c r="E197" s="16"/>
      <c r="F197" s="19"/>
      <c r="G197" s="20"/>
      <c r="H197" s="24"/>
      <c r="I197" s="25"/>
    </row>
    <row r="198" ht="15.75" customHeight="1">
      <c r="B198" s="13"/>
      <c r="D198" s="16"/>
      <c r="E198" s="16"/>
      <c r="F198" s="19"/>
      <c r="G198" s="20"/>
      <c r="H198" s="24"/>
      <c r="I198" s="25"/>
    </row>
    <row r="199" ht="15.75" customHeight="1">
      <c r="B199" s="13"/>
      <c r="D199" s="16"/>
      <c r="E199" s="16"/>
      <c r="F199" s="19"/>
      <c r="G199" s="20"/>
      <c r="H199" s="24"/>
      <c r="I199" s="25"/>
    </row>
    <row r="200" ht="15.75" customHeight="1">
      <c r="B200" s="13"/>
      <c r="D200" s="16"/>
      <c r="E200" s="16"/>
      <c r="F200" s="19"/>
      <c r="G200" s="20"/>
      <c r="H200" s="24"/>
      <c r="I200" s="25"/>
    </row>
    <row r="201" ht="15.75" customHeight="1">
      <c r="B201" s="13"/>
      <c r="D201" s="16"/>
      <c r="E201" s="16"/>
      <c r="F201" s="19"/>
      <c r="G201" s="20"/>
      <c r="H201" s="24"/>
      <c r="I201" s="25"/>
    </row>
    <row r="202" ht="15.75" customHeight="1">
      <c r="B202" s="13"/>
      <c r="D202" s="16"/>
      <c r="E202" s="16"/>
      <c r="F202" s="19"/>
      <c r="G202" s="20"/>
      <c r="H202" s="24"/>
      <c r="I202" s="25"/>
    </row>
    <row r="203" ht="15.75" customHeight="1">
      <c r="B203" s="13"/>
      <c r="D203" s="16"/>
      <c r="E203" s="16"/>
      <c r="F203" s="19"/>
      <c r="G203" s="20"/>
      <c r="H203" s="24"/>
      <c r="I203" s="25"/>
    </row>
    <row r="204" ht="15.75" customHeight="1">
      <c r="B204" s="13"/>
      <c r="D204" s="16"/>
      <c r="E204" s="16"/>
      <c r="F204" s="19"/>
      <c r="G204" s="20"/>
      <c r="H204" s="24"/>
      <c r="I204" s="25"/>
    </row>
    <row r="205" ht="15.75" customHeight="1">
      <c r="B205" s="13"/>
      <c r="D205" s="16"/>
      <c r="E205" s="16"/>
      <c r="F205" s="19"/>
      <c r="G205" s="20"/>
      <c r="H205" s="24"/>
      <c r="I205" s="25"/>
    </row>
    <row r="206" ht="15.75" customHeight="1">
      <c r="B206" s="13"/>
      <c r="D206" s="16"/>
      <c r="E206" s="16"/>
      <c r="F206" s="19"/>
      <c r="G206" s="20"/>
      <c r="H206" s="24"/>
      <c r="I206" s="25"/>
    </row>
    <row r="207" ht="15.75" customHeight="1">
      <c r="B207" s="13"/>
      <c r="D207" s="16"/>
      <c r="E207" s="16"/>
      <c r="F207" s="19"/>
      <c r="G207" s="20"/>
      <c r="H207" s="24"/>
      <c r="I207" s="25"/>
    </row>
    <row r="208" ht="15.75" customHeight="1">
      <c r="B208" s="13"/>
      <c r="D208" s="16"/>
      <c r="E208" s="16"/>
      <c r="F208" s="19"/>
      <c r="G208" s="20"/>
      <c r="H208" s="24"/>
      <c r="I208" s="25"/>
    </row>
    <row r="209" ht="15.75" customHeight="1">
      <c r="B209" s="13"/>
      <c r="D209" s="16"/>
      <c r="E209" s="16"/>
      <c r="F209" s="19"/>
      <c r="G209" s="20"/>
      <c r="H209" s="24"/>
      <c r="I209" s="25"/>
    </row>
    <row r="210" ht="15.75" customHeight="1">
      <c r="B210" s="13"/>
      <c r="D210" s="16"/>
      <c r="E210" s="16"/>
      <c r="F210" s="19"/>
      <c r="G210" s="20"/>
      <c r="H210" s="24"/>
      <c r="I210" s="25"/>
    </row>
    <row r="211" ht="15.75" customHeight="1">
      <c r="B211" s="13"/>
      <c r="D211" s="16"/>
      <c r="E211" s="16"/>
      <c r="F211" s="19"/>
      <c r="G211" s="20"/>
      <c r="H211" s="24"/>
      <c r="I211" s="25"/>
    </row>
    <row r="212" ht="15.75" customHeight="1">
      <c r="B212" s="13"/>
      <c r="D212" s="16"/>
      <c r="E212" s="16"/>
      <c r="F212" s="19"/>
      <c r="G212" s="20"/>
      <c r="H212" s="24"/>
      <c r="I212" s="25"/>
    </row>
    <row r="213" ht="15.75" customHeight="1">
      <c r="B213" s="13"/>
      <c r="D213" s="16"/>
      <c r="E213" s="16"/>
      <c r="F213" s="19"/>
      <c r="G213" s="20"/>
      <c r="H213" s="24"/>
      <c r="I213" s="25"/>
    </row>
    <row r="214" ht="15.75" customHeight="1">
      <c r="B214" s="13"/>
      <c r="D214" s="16"/>
      <c r="E214" s="16"/>
      <c r="F214" s="19"/>
      <c r="G214" s="20"/>
      <c r="H214" s="24"/>
      <c r="I214" s="25"/>
    </row>
    <row r="215" ht="15.75" customHeight="1">
      <c r="B215" s="13"/>
      <c r="D215" s="16"/>
      <c r="E215" s="16"/>
      <c r="F215" s="19"/>
      <c r="G215" s="20"/>
      <c r="H215" s="24"/>
      <c r="I215" s="25"/>
    </row>
    <row r="216" ht="15.75" customHeight="1">
      <c r="B216" s="13"/>
      <c r="D216" s="16"/>
      <c r="E216" s="16"/>
      <c r="F216" s="19"/>
      <c r="G216" s="20"/>
      <c r="H216" s="24"/>
      <c r="I216" s="25"/>
    </row>
    <row r="217" ht="15.75" customHeight="1">
      <c r="B217" s="13"/>
      <c r="D217" s="16"/>
      <c r="E217" s="16"/>
      <c r="F217" s="19"/>
      <c r="G217" s="20"/>
      <c r="H217" s="24"/>
      <c r="I217" s="25"/>
    </row>
    <row r="218" ht="15.75" customHeight="1">
      <c r="B218" s="13"/>
      <c r="D218" s="16"/>
      <c r="E218" s="16"/>
      <c r="F218" s="19"/>
      <c r="G218" s="20"/>
      <c r="H218" s="24"/>
      <c r="I218" s="25"/>
    </row>
    <row r="219" ht="15.75" customHeight="1">
      <c r="B219" s="13"/>
      <c r="D219" s="16"/>
      <c r="E219" s="16"/>
      <c r="F219" s="19"/>
      <c r="G219" s="20"/>
      <c r="H219" s="24"/>
      <c r="I219" s="25"/>
    </row>
    <row r="220" ht="15.75" customHeight="1">
      <c r="B220" s="13"/>
      <c r="D220" s="16"/>
      <c r="E220" s="16"/>
      <c r="F220" s="19"/>
      <c r="G220" s="20"/>
      <c r="H220" s="24"/>
      <c r="I220" s="25"/>
    </row>
    <row r="221" ht="15.75" customHeight="1">
      <c r="B221" s="13"/>
      <c r="D221" s="16"/>
      <c r="E221" s="16"/>
      <c r="F221" s="19"/>
      <c r="G221" s="20"/>
      <c r="H221" s="24"/>
      <c r="I221" s="25"/>
    </row>
    <row r="222" ht="15.75" customHeight="1">
      <c r="B222" s="13"/>
      <c r="D222" s="16"/>
      <c r="E222" s="16"/>
      <c r="F222" s="19"/>
      <c r="G222" s="20"/>
      <c r="H222" s="24"/>
      <c r="I222" s="25"/>
    </row>
    <row r="223" ht="15.75" customHeight="1">
      <c r="B223" s="13"/>
      <c r="D223" s="16"/>
      <c r="E223" s="16"/>
      <c r="F223" s="19"/>
      <c r="G223" s="20"/>
      <c r="H223" s="24"/>
      <c r="I223" s="25"/>
    </row>
    <row r="224" ht="15.75" customHeight="1">
      <c r="B224" s="13"/>
      <c r="D224" s="16"/>
      <c r="E224" s="16"/>
      <c r="F224" s="19"/>
      <c r="G224" s="20"/>
      <c r="H224" s="24"/>
      <c r="I224" s="25"/>
    </row>
    <row r="225" ht="15.75" customHeight="1">
      <c r="B225" s="13"/>
      <c r="D225" s="16"/>
      <c r="E225" s="16"/>
      <c r="F225" s="19"/>
      <c r="G225" s="20"/>
      <c r="H225" s="24"/>
      <c r="I225" s="25"/>
    </row>
    <row r="226" ht="15.75" customHeight="1">
      <c r="B226" s="13"/>
      <c r="D226" s="16"/>
      <c r="E226" s="16"/>
      <c r="F226" s="19"/>
      <c r="G226" s="20"/>
      <c r="H226" s="24"/>
      <c r="I226" s="25"/>
    </row>
    <row r="227" ht="15.75" customHeight="1">
      <c r="B227" s="13"/>
      <c r="D227" s="16"/>
      <c r="E227" s="16"/>
      <c r="F227" s="19"/>
      <c r="G227" s="20"/>
      <c r="H227" s="24"/>
      <c r="I227" s="25"/>
    </row>
    <row r="228" ht="15.75" customHeight="1">
      <c r="B228" s="13"/>
      <c r="D228" s="16"/>
      <c r="E228" s="16"/>
      <c r="F228" s="19"/>
      <c r="G228" s="20"/>
      <c r="H228" s="24"/>
      <c r="I228" s="25"/>
    </row>
    <row r="229" ht="15.75" customHeight="1">
      <c r="B229" s="13"/>
      <c r="D229" s="16"/>
      <c r="E229" s="16"/>
      <c r="F229" s="19"/>
      <c r="G229" s="20"/>
      <c r="H229" s="24"/>
      <c r="I229" s="25"/>
    </row>
    <row r="230" ht="15.75" customHeight="1">
      <c r="B230" s="13"/>
      <c r="D230" s="16"/>
      <c r="E230" s="16"/>
      <c r="F230" s="19"/>
      <c r="G230" s="20"/>
      <c r="H230" s="24"/>
      <c r="I230" s="25"/>
    </row>
    <row r="231" ht="15.75" customHeight="1">
      <c r="B231" s="13"/>
      <c r="D231" s="16"/>
      <c r="E231" s="16"/>
      <c r="F231" s="19"/>
      <c r="G231" s="20"/>
      <c r="H231" s="24"/>
      <c r="I231" s="25"/>
    </row>
    <row r="232" ht="15.75" customHeight="1">
      <c r="B232" s="13"/>
      <c r="D232" s="16"/>
      <c r="E232" s="16"/>
      <c r="F232" s="19"/>
      <c r="G232" s="20"/>
      <c r="H232" s="24"/>
      <c r="I232" s="25"/>
    </row>
    <row r="233" ht="15.75" customHeight="1">
      <c r="B233" s="13"/>
      <c r="D233" s="16"/>
      <c r="E233" s="16"/>
      <c r="F233" s="19"/>
      <c r="G233" s="20"/>
      <c r="H233" s="24"/>
      <c r="I233" s="25"/>
    </row>
    <row r="234" ht="15.75" customHeight="1">
      <c r="B234" s="13"/>
      <c r="D234" s="16"/>
      <c r="E234" s="16"/>
      <c r="F234" s="19"/>
      <c r="G234" s="20"/>
      <c r="H234" s="24"/>
      <c r="I234" s="25"/>
    </row>
    <row r="235" ht="15.75" customHeight="1">
      <c r="B235" s="13"/>
      <c r="D235" s="16"/>
      <c r="E235" s="16"/>
      <c r="F235" s="19"/>
      <c r="G235" s="20"/>
      <c r="H235" s="24"/>
      <c r="I235" s="25"/>
    </row>
    <row r="236" ht="15.75" customHeight="1">
      <c r="B236" s="13"/>
      <c r="D236" s="16"/>
      <c r="E236" s="16"/>
      <c r="F236" s="19"/>
      <c r="G236" s="20"/>
      <c r="H236" s="24"/>
      <c r="I236" s="25"/>
    </row>
    <row r="237" ht="15.75" customHeight="1">
      <c r="B237" s="13"/>
      <c r="D237" s="16"/>
      <c r="E237" s="16"/>
      <c r="F237" s="19"/>
      <c r="G237" s="20"/>
      <c r="H237" s="24"/>
      <c r="I237" s="25"/>
    </row>
    <row r="238" ht="15.75" customHeight="1">
      <c r="B238" s="13"/>
      <c r="D238" s="16"/>
      <c r="E238" s="16"/>
      <c r="F238" s="19"/>
      <c r="G238" s="20"/>
      <c r="H238" s="24"/>
      <c r="I238" s="25"/>
    </row>
    <row r="239" ht="15.75" customHeight="1">
      <c r="B239" s="13"/>
      <c r="D239" s="16"/>
      <c r="E239" s="16"/>
      <c r="F239" s="19"/>
      <c r="G239" s="20"/>
      <c r="H239" s="24"/>
      <c r="I239" s="25"/>
    </row>
    <row r="240" ht="15.75" customHeight="1">
      <c r="B240" s="13"/>
      <c r="D240" s="16"/>
      <c r="E240" s="16"/>
      <c r="F240" s="19"/>
      <c r="G240" s="20"/>
      <c r="H240" s="24"/>
      <c r="I240" s="25"/>
    </row>
    <row r="241" ht="15.75" customHeight="1">
      <c r="B241" s="13"/>
      <c r="D241" s="16"/>
      <c r="E241" s="16"/>
      <c r="F241" s="19"/>
      <c r="G241" s="20"/>
      <c r="H241" s="24"/>
      <c r="I241" s="25"/>
    </row>
    <row r="242" ht="15.75" customHeight="1">
      <c r="B242" s="13"/>
      <c r="D242" s="16"/>
      <c r="E242" s="16"/>
      <c r="F242" s="19"/>
      <c r="G242" s="20"/>
      <c r="H242" s="24"/>
      <c r="I242" s="25"/>
    </row>
    <row r="243" ht="15.75" customHeight="1">
      <c r="B243" s="13"/>
      <c r="D243" s="16"/>
      <c r="E243" s="16"/>
      <c r="F243" s="19"/>
      <c r="G243" s="20"/>
      <c r="H243" s="24"/>
      <c r="I243" s="25"/>
    </row>
    <row r="244" ht="15.75" customHeight="1">
      <c r="B244" s="13"/>
      <c r="D244" s="16"/>
      <c r="E244" s="16"/>
      <c r="F244" s="19"/>
      <c r="G244" s="20"/>
      <c r="H244" s="24"/>
      <c r="I244" s="25"/>
    </row>
    <row r="245" ht="15.75" customHeight="1">
      <c r="B245" s="13"/>
      <c r="D245" s="16"/>
      <c r="E245" s="16"/>
      <c r="F245" s="19"/>
      <c r="G245" s="20"/>
      <c r="H245" s="24"/>
      <c r="I245" s="25"/>
    </row>
    <row r="246" ht="15.75" customHeight="1">
      <c r="B246" s="13"/>
      <c r="D246" s="16"/>
      <c r="E246" s="16"/>
      <c r="F246" s="19"/>
      <c r="G246" s="20"/>
      <c r="H246" s="24"/>
      <c r="I246" s="25"/>
    </row>
    <row r="247" ht="15.75" customHeight="1">
      <c r="B247" s="13"/>
      <c r="D247" s="16"/>
      <c r="E247" s="16"/>
      <c r="F247" s="19"/>
      <c r="G247" s="20"/>
      <c r="H247" s="24"/>
      <c r="I247" s="25"/>
    </row>
    <row r="248" ht="15.75" customHeight="1">
      <c r="B248" s="13"/>
      <c r="D248" s="16"/>
      <c r="E248" s="16"/>
      <c r="F248" s="19"/>
      <c r="G248" s="20"/>
      <c r="H248" s="24"/>
      <c r="I248" s="25"/>
    </row>
    <row r="249" ht="15.75" customHeight="1">
      <c r="B249" s="13"/>
      <c r="D249" s="16"/>
      <c r="E249" s="16"/>
      <c r="F249" s="19"/>
      <c r="G249" s="20"/>
      <c r="H249" s="24"/>
      <c r="I249" s="25"/>
    </row>
    <row r="250" ht="15.75" customHeight="1">
      <c r="B250" s="13"/>
      <c r="D250" s="16"/>
      <c r="E250" s="16"/>
      <c r="F250" s="19"/>
      <c r="G250" s="20"/>
      <c r="H250" s="24"/>
      <c r="I250" s="25"/>
    </row>
    <row r="251" ht="15.75" customHeight="1">
      <c r="B251" s="13"/>
      <c r="D251" s="16"/>
      <c r="E251" s="16"/>
      <c r="F251" s="19"/>
      <c r="G251" s="20"/>
      <c r="H251" s="24"/>
      <c r="I251" s="25"/>
    </row>
    <row r="252" ht="15.75" customHeight="1">
      <c r="B252" s="13"/>
      <c r="D252" s="16"/>
      <c r="E252" s="16"/>
      <c r="F252" s="19"/>
      <c r="G252" s="20"/>
      <c r="H252" s="24"/>
      <c r="I252" s="25"/>
    </row>
    <row r="253" ht="15.75" customHeight="1">
      <c r="B253" s="13"/>
      <c r="D253" s="16"/>
      <c r="E253" s="16"/>
      <c r="F253" s="19"/>
      <c r="G253" s="20"/>
      <c r="H253" s="24"/>
      <c r="I253" s="25"/>
    </row>
    <row r="254" ht="15.75" customHeight="1">
      <c r="B254" s="13"/>
      <c r="D254" s="16"/>
      <c r="E254" s="16"/>
      <c r="F254" s="19"/>
      <c r="G254" s="20"/>
      <c r="H254" s="24"/>
      <c r="I254" s="25"/>
    </row>
    <row r="255" ht="15.75" customHeight="1">
      <c r="B255" s="13"/>
      <c r="D255" s="16"/>
      <c r="E255" s="16"/>
      <c r="F255" s="19"/>
      <c r="G255" s="20"/>
      <c r="H255" s="24"/>
      <c r="I255" s="25"/>
    </row>
    <row r="256" ht="15.75" customHeight="1">
      <c r="B256" s="13"/>
      <c r="D256" s="16"/>
      <c r="E256" s="16"/>
      <c r="F256" s="19"/>
      <c r="G256" s="20"/>
      <c r="H256" s="24"/>
      <c r="I256" s="25"/>
    </row>
    <row r="257" ht="15.75" customHeight="1">
      <c r="B257" s="13"/>
      <c r="D257" s="16"/>
      <c r="E257" s="16"/>
      <c r="F257" s="19"/>
      <c r="G257" s="20"/>
      <c r="H257" s="24"/>
      <c r="I257" s="25"/>
    </row>
    <row r="258" ht="15.75" customHeight="1">
      <c r="B258" s="13"/>
      <c r="D258" s="16"/>
      <c r="E258" s="16"/>
      <c r="F258" s="19"/>
      <c r="G258" s="20"/>
      <c r="H258" s="24"/>
      <c r="I258" s="25"/>
    </row>
    <row r="259" ht="15.75" customHeight="1">
      <c r="B259" s="13"/>
      <c r="D259" s="16"/>
      <c r="E259" s="16"/>
      <c r="F259" s="19"/>
      <c r="G259" s="20"/>
      <c r="H259" s="24"/>
      <c r="I259" s="25"/>
    </row>
    <row r="260" ht="15.75" customHeight="1">
      <c r="B260" s="13"/>
      <c r="D260" s="16"/>
      <c r="E260" s="16"/>
      <c r="F260" s="19"/>
      <c r="G260" s="20"/>
      <c r="H260" s="24"/>
      <c r="I260" s="25"/>
    </row>
    <row r="261" ht="15.75" customHeight="1">
      <c r="B261" s="13"/>
      <c r="D261" s="16"/>
      <c r="E261" s="16"/>
      <c r="F261" s="19"/>
      <c r="G261" s="20"/>
      <c r="H261" s="24"/>
      <c r="I261" s="25"/>
    </row>
    <row r="262" ht="15.75" customHeight="1">
      <c r="B262" s="13"/>
      <c r="D262" s="16"/>
      <c r="E262" s="16"/>
      <c r="F262" s="19"/>
      <c r="G262" s="20"/>
      <c r="H262" s="24"/>
      <c r="I262" s="25"/>
    </row>
    <row r="263" ht="15.75" customHeight="1">
      <c r="B263" s="13"/>
      <c r="D263" s="16"/>
      <c r="E263" s="16"/>
      <c r="F263" s="19"/>
      <c r="G263" s="20"/>
      <c r="H263" s="24"/>
      <c r="I263" s="25"/>
    </row>
    <row r="264" ht="15.75" customHeight="1">
      <c r="B264" s="13"/>
      <c r="D264" s="16"/>
      <c r="E264" s="16"/>
      <c r="F264" s="19"/>
      <c r="G264" s="20"/>
      <c r="H264" s="24"/>
      <c r="I264" s="25"/>
    </row>
    <row r="265" ht="15.75" customHeight="1">
      <c r="B265" s="13"/>
      <c r="D265" s="16"/>
      <c r="E265" s="16"/>
      <c r="F265" s="19"/>
      <c r="G265" s="20"/>
      <c r="H265" s="24"/>
      <c r="I265" s="25"/>
    </row>
    <row r="266" ht="15.75" customHeight="1">
      <c r="B266" s="13"/>
      <c r="D266" s="16"/>
      <c r="E266" s="16"/>
      <c r="F266" s="19"/>
      <c r="G266" s="20"/>
      <c r="H266" s="24"/>
      <c r="I266" s="25"/>
    </row>
    <row r="267" ht="15.75" customHeight="1">
      <c r="B267" s="13"/>
      <c r="D267" s="16"/>
      <c r="E267" s="16"/>
      <c r="F267" s="19"/>
      <c r="G267" s="20"/>
      <c r="H267" s="24"/>
      <c r="I267" s="25"/>
    </row>
    <row r="268" ht="15.75" customHeight="1">
      <c r="B268" s="13"/>
      <c r="D268" s="16"/>
      <c r="E268" s="16"/>
      <c r="F268" s="19"/>
      <c r="G268" s="20"/>
      <c r="H268" s="24"/>
      <c r="I268" s="25"/>
    </row>
    <row r="269" ht="15.75" customHeight="1">
      <c r="B269" s="13"/>
      <c r="D269" s="16"/>
      <c r="E269" s="16"/>
      <c r="F269" s="19"/>
      <c r="G269" s="20"/>
      <c r="H269" s="24"/>
      <c r="I269" s="25"/>
    </row>
    <row r="270" ht="15.75" customHeight="1">
      <c r="B270" s="13"/>
      <c r="D270" s="16"/>
      <c r="E270" s="16"/>
      <c r="F270" s="19"/>
      <c r="G270" s="20"/>
      <c r="H270" s="24"/>
      <c r="I270" s="25"/>
    </row>
    <row r="271" ht="15.75" customHeight="1">
      <c r="B271" s="13"/>
      <c r="D271" s="16"/>
      <c r="E271" s="16"/>
      <c r="F271" s="19"/>
      <c r="G271" s="20"/>
      <c r="H271" s="24"/>
      <c r="I271" s="25"/>
    </row>
    <row r="272" ht="15.75" customHeight="1">
      <c r="B272" s="13"/>
      <c r="D272" s="16"/>
      <c r="E272" s="16"/>
      <c r="F272" s="19"/>
      <c r="G272" s="20"/>
      <c r="H272" s="24"/>
      <c r="I272" s="25"/>
    </row>
    <row r="273" ht="15.75" customHeight="1">
      <c r="B273" s="13"/>
      <c r="D273" s="16"/>
      <c r="E273" s="16"/>
      <c r="F273" s="19"/>
      <c r="G273" s="20"/>
      <c r="H273" s="24"/>
      <c r="I273" s="25"/>
    </row>
    <row r="274" ht="15.75" customHeight="1">
      <c r="B274" s="13"/>
      <c r="D274" s="16"/>
      <c r="E274" s="16"/>
      <c r="F274" s="19"/>
      <c r="G274" s="20"/>
      <c r="H274" s="24"/>
      <c r="I274" s="25"/>
    </row>
    <row r="275" ht="15.75" customHeight="1">
      <c r="B275" s="13"/>
      <c r="D275" s="16"/>
      <c r="E275" s="16"/>
      <c r="F275" s="19"/>
      <c r="G275" s="20"/>
      <c r="H275" s="24"/>
      <c r="I275" s="25"/>
    </row>
    <row r="276" ht="15.75" customHeight="1">
      <c r="B276" s="13"/>
      <c r="D276" s="16"/>
      <c r="E276" s="16"/>
      <c r="F276" s="19"/>
      <c r="G276" s="20"/>
      <c r="H276" s="24"/>
      <c r="I276" s="25"/>
    </row>
    <row r="277" ht="15.75" customHeight="1">
      <c r="B277" s="13"/>
      <c r="D277" s="16"/>
      <c r="E277" s="16"/>
      <c r="F277" s="19"/>
      <c r="G277" s="20"/>
      <c r="H277" s="24"/>
      <c r="I277" s="25"/>
    </row>
    <row r="278" ht="15.75" customHeight="1">
      <c r="B278" s="13"/>
      <c r="D278" s="16"/>
      <c r="E278" s="16"/>
      <c r="F278" s="19"/>
      <c r="G278" s="20"/>
      <c r="H278" s="24"/>
      <c r="I278" s="25"/>
    </row>
    <row r="279" ht="15.75" customHeight="1">
      <c r="B279" s="13"/>
      <c r="D279" s="16"/>
      <c r="E279" s="16"/>
      <c r="F279" s="19"/>
      <c r="G279" s="20"/>
      <c r="H279" s="24"/>
      <c r="I279" s="25"/>
    </row>
    <row r="280" ht="15.75" customHeight="1">
      <c r="B280" s="13"/>
      <c r="D280" s="16"/>
      <c r="E280" s="16"/>
      <c r="F280" s="19"/>
      <c r="G280" s="20"/>
      <c r="H280" s="24"/>
      <c r="I280" s="25"/>
    </row>
    <row r="281" ht="15.75" customHeight="1">
      <c r="B281" s="13"/>
      <c r="D281" s="16"/>
      <c r="E281" s="16"/>
      <c r="F281" s="19"/>
      <c r="G281" s="20"/>
      <c r="H281" s="24"/>
      <c r="I281" s="25"/>
    </row>
    <row r="282" ht="15.75" customHeight="1">
      <c r="B282" s="13"/>
      <c r="D282" s="16"/>
      <c r="E282" s="16"/>
      <c r="F282" s="19"/>
      <c r="G282" s="20"/>
      <c r="H282" s="24"/>
      <c r="I282" s="25"/>
    </row>
    <row r="283" ht="15.75" customHeight="1">
      <c r="B283" s="13"/>
      <c r="D283" s="16"/>
      <c r="E283" s="16"/>
      <c r="F283" s="19"/>
      <c r="G283" s="20"/>
      <c r="H283" s="24"/>
      <c r="I283" s="25"/>
    </row>
    <row r="284" ht="15.75" customHeight="1">
      <c r="B284" s="13"/>
      <c r="D284" s="16"/>
      <c r="E284" s="16"/>
      <c r="F284" s="19"/>
      <c r="G284" s="20"/>
      <c r="H284" s="24"/>
      <c r="I284" s="25"/>
    </row>
    <row r="285" ht="15.75" customHeight="1">
      <c r="B285" s="13"/>
      <c r="D285" s="16"/>
      <c r="E285" s="16"/>
      <c r="F285" s="19"/>
      <c r="G285" s="20"/>
      <c r="H285" s="24"/>
      <c r="I285" s="25"/>
    </row>
    <row r="286" ht="15.75" customHeight="1">
      <c r="B286" s="13"/>
      <c r="D286" s="16"/>
      <c r="E286" s="16"/>
      <c r="F286" s="19"/>
      <c r="G286" s="20"/>
      <c r="H286" s="24"/>
      <c r="I286" s="25"/>
    </row>
    <row r="287" ht="15.75" customHeight="1">
      <c r="B287" s="13"/>
      <c r="D287" s="16"/>
      <c r="E287" s="16"/>
      <c r="F287" s="19"/>
      <c r="G287" s="20"/>
      <c r="H287" s="24"/>
      <c r="I287" s="25"/>
    </row>
    <row r="288" ht="15.75" customHeight="1">
      <c r="B288" s="13"/>
      <c r="D288" s="16"/>
      <c r="E288" s="16"/>
      <c r="F288" s="19"/>
      <c r="G288" s="20"/>
      <c r="H288" s="24"/>
      <c r="I288" s="25"/>
    </row>
    <row r="289" ht="15.75" customHeight="1">
      <c r="B289" s="13"/>
      <c r="D289" s="16"/>
      <c r="E289" s="16"/>
      <c r="F289" s="19"/>
      <c r="G289" s="20"/>
      <c r="H289" s="24"/>
      <c r="I289" s="25"/>
    </row>
    <row r="290" ht="15.75" customHeight="1">
      <c r="B290" s="13"/>
      <c r="D290" s="16"/>
      <c r="E290" s="16"/>
      <c r="F290" s="19"/>
      <c r="G290" s="20"/>
      <c r="H290" s="24"/>
      <c r="I290" s="25"/>
    </row>
    <row r="291" ht="15.75" customHeight="1">
      <c r="B291" s="13"/>
      <c r="D291" s="16"/>
      <c r="E291" s="16"/>
      <c r="F291" s="19"/>
      <c r="G291" s="20"/>
      <c r="H291" s="24"/>
      <c r="I291" s="25"/>
    </row>
    <row r="292" ht="15.75" customHeight="1">
      <c r="B292" s="13"/>
      <c r="D292" s="16"/>
      <c r="E292" s="16"/>
      <c r="F292" s="19"/>
      <c r="G292" s="20"/>
      <c r="H292" s="24"/>
      <c r="I292" s="25"/>
    </row>
    <row r="293" ht="15.75" customHeight="1">
      <c r="B293" s="13"/>
      <c r="D293" s="16"/>
      <c r="E293" s="16"/>
      <c r="F293" s="19"/>
      <c r="G293" s="20"/>
      <c r="H293" s="24"/>
      <c r="I293" s="25"/>
    </row>
    <row r="294" ht="15.75" customHeight="1">
      <c r="B294" s="13"/>
      <c r="D294" s="16"/>
      <c r="E294" s="16"/>
      <c r="F294" s="19"/>
      <c r="G294" s="20"/>
      <c r="H294" s="24"/>
      <c r="I294" s="25"/>
    </row>
    <row r="295" ht="15.75" customHeight="1">
      <c r="B295" s="13"/>
      <c r="D295" s="16"/>
      <c r="E295" s="16"/>
      <c r="F295" s="19"/>
      <c r="G295" s="20"/>
      <c r="H295" s="24"/>
      <c r="I295" s="25"/>
    </row>
    <row r="296" ht="15.75" customHeight="1">
      <c r="B296" s="13"/>
      <c r="D296" s="16"/>
      <c r="E296" s="16"/>
      <c r="F296" s="19"/>
      <c r="G296" s="20"/>
      <c r="H296" s="24"/>
      <c r="I296" s="25"/>
    </row>
    <row r="297" ht="15.75" customHeight="1">
      <c r="B297" s="13"/>
      <c r="D297" s="16"/>
      <c r="E297" s="16"/>
      <c r="F297" s="19"/>
      <c r="G297" s="20"/>
      <c r="H297" s="24"/>
      <c r="I297" s="25"/>
    </row>
    <row r="298" ht="15.75" customHeight="1">
      <c r="B298" s="13"/>
      <c r="D298" s="16"/>
      <c r="E298" s="16"/>
      <c r="F298" s="19"/>
      <c r="G298" s="20"/>
      <c r="H298" s="24"/>
      <c r="I298" s="25"/>
    </row>
    <row r="299" ht="15.75" customHeight="1">
      <c r="B299" s="13"/>
      <c r="D299" s="16"/>
      <c r="E299" s="16"/>
      <c r="F299" s="19"/>
      <c r="G299" s="20"/>
      <c r="H299" s="24"/>
      <c r="I299" s="25"/>
    </row>
    <row r="300" ht="15.75" customHeight="1">
      <c r="B300" s="13"/>
      <c r="D300" s="16"/>
      <c r="E300" s="16"/>
      <c r="F300" s="19"/>
      <c r="G300" s="20"/>
      <c r="H300" s="24"/>
      <c r="I300" s="25"/>
    </row>
    <row r="301" ht="15.75" customHeight="1">
      <c r="B301" s="13"/>
      <c r="D301" s="16"/>
      <c r="E301" s="16"/>
      <c r="F301" s="19"/>
      <c r="G301" s="20"/>
      <c r="H301" s="24"/>
      <c r="I301" s="25"/>
    </row>
    <row r="302" ht="15.75" customHeight="1">
      <c r="B302" s="13"/>
      <c r="D302" s="16"/>
      <c r="E302" s="16"/>
      <c r="F302" s="19"/>
      <c r="G302" s="20"/>
      <c r="H302" s="24"/>
      <c r="I302" s="25"/>
    </row>
    <row r="303" ht="15.75" customHeight="1">
      <c r="B303" s="13"/>
      <c r="D303" s="16"/>
      <c r="E303" s="16"/>
      <c r="F303" s="19"/>
      <c r="G303" s="20"/>
      <c r="H303" s="24"/>
      <c r="I303" s="25"/>
    </row>
    <row r="304" ht="15.75" customHeight="1">
      <c r="B304" s="13"/>
      <c r="D304" s="16"/>
      <c r="E304" s="16"/>
      <c r="F304" s="19"/>
      <c r="G304" s="20"/>
      <c r="H304" s="24"/>
      <c r="I304" s="25"/>
    </row>
    <row r="305" ht="15.75" customHeight="1">
      <c r="B305" s="13"/>
      <c r="D305" s="16"/>
      <c r="E305" s="16"/>
      <c r="F305" s="19"/>
      <c r="G305" s="20"/>
      <c r="H305" s="24"/>
      <c r="I305" s="25"/>
    </row>
    <row r="306" ht="15.75" customHeight="1">
      <c r="B306" s="13"/>
      <c r="D306" s="16"/>
      <c r="E306" s="16"/>
      <c r="F306" s="19"/>
      <c r="G306" s="20"/>
      <c r="H306" s="24"/>
      <c r="I306" s="25"/>
    </row>
    <row r="307" ht="15.75" customHeight="1">
      <c r="B307" s="13"/>
      <c r="D307" s="16"/>
      <c r="E307" s="16"/>
      <c r="F307" s="19"/>
      <c r="G307" s="20"/>
      <c r="H307" s="24"/>
      <c r="I307" s="25"/>
    </row>
    <row r="308" ht="15.75" customHeight="1">
      <c r="B308" s="13"/>
      <c r="D308" s="16"/>
      <c r="E308" s="16"/>
      <c r="F308" s="19"/>
      <c r="G308" s="20"/>
      <c r="H308" s="24"/>
      <c r="I308" s="25"/>
    </row>
    <row r="309" ht="15.75" customHeight="1">
      <c r="B309" s="13"/>
      <c r="D309" s="16"/>
      <c r="E309" s="16"/>
      <c r="F309" s="19"/>
      <c r="G309" s="20"/>
      <c r="H309" s="24"/>
      <c r="I309" s="25"/>
    </row>
    <row r="310" ht="15.75" customHeight="1">
      <c r="B310" s="13"/>
      <c r="D310" s="16"/>
      <c r="E310" s="16"/>
      <c r="F310" s="19"/>
      <c r="G310" s="20"/>
      <c r="H310" s="24"/>
      <c r="I310" s="25"/>
    </row>
    <row r="311" ht="15.75" customHeight="1">
      <c r="B311" s="13"/>
      <c r="D311" s="16"/>
      <c r="E311" s="16"/>
      <c r="F311" s="19"/>
      <c r="G311" s="20"/>
      <c r="H311" s="24"/>
      <c r="I311" s="25"/>
    </row>
    <row r="312" ht="15.75" customHeight="1">
      <c r="B312" s="13"/>
      <c r="D312" s="16"/>
      <c r="E312" s="16"/>
      <c r="F312" s="19"/>
      <c r="G312" s="20"/>
      <c r="H312" s="24"/>
      <c r="I312" s="25"/>
    </row>
    <row r="313" ht="15.75" customHeight="1">
      <c r="B313" s="13"/>
      <c r="D313" s="16"/>
      <c r="E313" s="16"/>
      <c r="F313" s="19"/>
      <c r="G313" s="20"/>
      <c r="H313" s="24"/>
      <c r="I313" s="25"/>
    </row>
    <row r="314" ht="15.75" customHeight="1">
      <c r="B314" s="13"/>
      <c r="D314" s="16"/>
      <c r="E314" s="16"/>
      <c r="F314" s="19"/>
      <c r="G314" s="20"/>
      <c r="H314" s="24"/>
      <c r="I314" s="25"/>
    </row>
    <row r="315" ht="15.75" customHeight="1">
      <c r="B315" s="13"/>
      <c r="D315" s="16"/>
      <c r="E315" s="16"/>
      <c r="F315" s="19"/>
      <c r="G315" s="20"/>
      <c r="H315" s="24"/>
      <c r="I315" s="25"/>
    </row>
    <row r="316" ht="15.75" customHeight="1">
      <c r="B316" s="13"/>
      <c r="D316" s="16"/>
      <c r="E316" s="16"/>
      <c r="F316" s="19"/>
      <c r="G316" s="20"/>
      <c r="H316" s="24"/>
      <c r="I316" s="25"/>
    </row>
    <row r="317" ht="15.75" customHeight="1">
      <c r="B317" s="13"/>
      <c r="D317" s="16"/>
      <c r="E317" s="16"/>
      <c r="F317" s="19"/>
      <c r="G317" s="20"/>
      <c r="H317" s="24"/>
      <c r="I317" s="25"/>
    </row>
    <row r="318" ht="15.75" customHeight="1">
      <c r="B318" s="13"/>
      <c r="D318" s="16"/>
      <c r="E318" s="16"/>
      <c r="F318" s="19"/>
      <c r="G318" s="20"/>
      <c r="H318" s="24"/>
      <c r="I318" s="25"/>
    </row>
    <row r="319" ht="15.75" customHeight="1">
      <c r="B319" s="13"/>
      <c r="D319" s="16"/>
      <c r="E319" s="16"/>
      <c r="F319" s="19"/>
      <c r="G319" s="20"/>
      <c r="H319" s="24"/>
      <c r="I319" s="25"/>
    </row>
    <row r="320" ht="15.75" customHeight="1">
      <c r="B320" s="13"/>
      <c r="D320" s="16"/>
      <c r="E320" s="16"/>
      <c r="F320" s="19"/>
      <c r="G320" s="20"/>
      <c r="H320" s="24"/>
      <c r="I320" s="25"/>
    </row>
    <row r="321" ht="15.75" customHeight="1">
      <c r="B321" s="13"/>
      <c r="D321" s="16"/>
      <c r="E321" s="16"/>
      <c r="F321" s="19"/>
      <c r="G321" s="20"/>
      <c r="H321" s="24"/>
      <c r="I321" s="25"/>
    </row>
    <row r="322" ht="15.75" customHeight="1">
      <c r="B322" s="13"/>
      <c r="D322" s="16"/>
      <c r="E322" s="16"/>
      <c r="F322" s="19"/>
      <c r="G322" s="20"/>
      <c r="H322" s="24"/>
      <c r="I322" s="25"/>
    </row>
    <row r="323" ht="15.75" customHeight="1">
      <c r="B323" s="13"/>
      <c r="D323" s="16"/>
      <c r="E323" s="16"/>
      <c r="F323" s="19"/>
      <c r="G323" s="20"/>
      <c r="H323" s="24"/>
      <c r="I323" s="25"/>
    </row>
    <row r="324" ht="15.75" customHeight="1">
      <c r="B324" s="13"/>
      <c r="D324" s="16"/>
      <c r="E324" s="16"/>
      <c r="F324" s="19"/>
      <c r="G324" s="20"/>
      <c r="H324" s="24"/>
      <c r="I324" s="25"/>
    </row>
    <row r="325" ht="15.75" customHeight="1">
      <c r="B325" s="13"/>
      <c r="D325" s="16"/>
      <c r="E325" s="16"/>
      <c r="F325" s="19"/>
      <c r="G325" s="20"/>
      <c r="H325" s="24"/>
      <c r="I325" s="25"/>
    </row>
    <row r="326" ht="15.75" customHeight="1">
      <c r="B326" s="13"/>
      <c r="D326" s="16"/>
      <c r="E326" s="16"/>
      <c r="F326" s="19"/>
      <c r="G326" s="20"/>
      <c r="H326" s="24"/>
      <c r="I326" s="25"/>
    </row>
    <row r="327" ht="15.75" customHeight="1">
      <c r="B327" s="13"/>
      <c r="D327" s="16"/>
      <c r="E327" s="16"/>
      <c r="F327" s="19"/>
      <c r="G327" s="20"/>
      <c r="H327" s="24"/>
      <c r="I327" s="25"/>
    </row>
    <row r="328" ht="15.75" customHeight="1">
      <c r="B328" s="13"/>
      <c r="D328" s="16"/>
      <c r="E328" s="16"/>
      <c r="F328" s="19"/>
      <c r="G328" s="20"/>
      <c r="H328" s="24"/>
      <c r="I328" s="25"/>
    </row>
    <row r="329" ht="15.75" customHeight="1">
      <c r="B329" s="13"/>
      <c r="D329" s="16"/>
      <c r="E329" s="16"/>
      <c r="F329" s="19"/>
      <c r="G329" s="20"/>
      <c r="H329" s="24"/>
      <c r="I329" s="25"/>
    </row>
    <row r="330" ht="15.75" customHeight="1">
      <c r="B330" s="13"/>
      <c r="D330" s="16"/>
      <c r="E330" s="16"/>
      <c r="F330" s="19"/>
      <c r="G330" s="20"/>
      <c r="H330" s="24"/>
      <c r="I330" s="25"/>
    </row>
    <row r="331" ht="15.75" customHeight="1">
      <c r="B331" s="13"/>
      <c r="D331" s="16"/>
      <c r="E331" s="16"/>
      <c r="F331" s="19"/>
      <c r="G331" s="20"/>
      <c r="H331" s="24"/>
      <c r="I331" s="25"/>
    </row>
    <row r="332" ht="15.75" customHeight="1">
      <c r="B332" s="13"/>
      <c r="D332" s="16"/>
      <c r="E332" s="16"/>
      <c r="F332" s="19"/>
      <c r="G332" s="20"/>
      <c r="H332" s="24"/>
      <c r="I332" s="25"/>
    </row>
    <row r="333" ht="15.75" customHeight="1">
      <c r="B333" s="13"/>
      <c r="D333" s="16"/>
      <c r="E333" s="16"/>
      <c r="F333" s="19"/>
      <c r="G333" s="20"/>
      <c r="H333" s="24"/>
      <c r="I333" s="25"/>
    </row>
    <row r="334" ht="15.75" customHeight="1">
      <c r="B334" s="13"/>
      <c r="D334" s="16"/>
      <c r="E334" s="16"/>
      <c r="F334" s="19"/>
      <c r="G334" s="20"/>
      <c r="H334" s="24"/>
      <c r="I334" s="25"/>
    </row>
    <row r="335" ht="15.75" customHeight="1">
      <c r="B335" s="13"/>
      <c r="D335" s="16"/>
      <c r="E335" s="16"/>
      <c r="F335" s="19"/>
      <c r="G335" s="20"/>
      <c r="H335" s="24"/>
      <c r="I335" s="25"/>
    </row>
    <row r="336" ht="15.75" customHeight="1">
      <c r="B336" s="13"/>
      <c r="D336" s="16"/>
      <c r="E336" s="16"/>
      <c r="F336" s="19"/>
      <c r="G336" s="20"/>
      <c r="H336" s="24"/>
      <c r="I336" s="25"/>
    </row>
    <row r="337" ht="15.75" customHeight="1">
      <c r="B337" s="13"/>
      <c r="D337" s="16"/>
      <c r="E337" s="16"/>
      <c r="F337" s="19"/>
      <c r="G337" s="20"/>
      <c r="H337" s="24"/>
      <c r="I337" s="25"/>
    </row>
    <row r="338" ht="15.75" customHeight="1">
      <c r="B338" s="13"/>
      <c r="D338" s="16"/>
      <c r="E338" s="16"/>
      <c r="F338" s="19"/>
      <c r="G338" s="20"/>
      <c r="H338" s="24"/>
      <c r="I338" s="25"/>
    </row>
    <row r="339" ht="15.75" customHeight="1">
      <c r="B339" s="13"/>
      <c r="D339" s="16"/>
      <c r="E339" s="16"/>
      <c r="F339" s="19"/>
      <c r="G339" s="20"/>
      <c r="H339" s="24"/>
      <c r="I339" s="25"/>
    </row>
    <row r="340" ht="15.75" customHeight="1">
      <c r="B340" s="13"/>
      <c r="D340" s="16"/>
      <c r="E340" s="16"/>
      <c r="F340" s="19"/>
      <c r="G340" s="20"/>
      <c r="H340" s="24"/>
      <c r="I340" s="25"/>
    </row>
    <row r="341" ht="15.75" customHeight="1">
      <c r="B341" s="13"/>
      <c r="D341" s="16"/>
      <c r="E341" s="16"/>
      <c r="F341" s="19"/>
      <c r="G341" s="20"/>
      <c r="H341" s="24"/>
      <c r="I341" s="25"/>
    </row>
    <row r="342" ht="15.75" customHeight="1">
      <c r="B342" s="13"/>
      <c r="D342" s="16"/>
      <c r="E342" s="16"/>
      <c r="F342" s="19"/>
      <c r="G342" s="20"/>
      <c r="H342" s="24"/>
      <c r="I342" s="25"/>
    </row>
    <row r="343" ht="15.75" customHeight="1">
      <c r="B343" s="13"/>
      <c r="D343" s="16"/>
      <c r="E343" s="16"/>
      <c r="F343" s="19"/>
      <c r="G343" s="20"/>
      <c r="H343" s="24"/>
      <c r="I343" s="25"/>
    </row>
    <row r="344" ht="15.75" customHeight="1">
      <c r="B344" s="13"/>
      <c r="D344" s="16"/>
      <c r="E344" s="16"/>
      <c r="F344" s="19"/>
      <c r="G344" s="20"/>
      <c r="H344" s="24"/>
      <c r="I344" s="25"/>
    </row>
    <row r="345" ht="15.75" customHeight="1">
      <c r="B345" s="13"/>
      <c r="D345" s="16"/>
      <c r="E345" s="16"/>
      <c r="F345" s="19"/>
      <c r="G345" s="20"/>
      <c r="H345" s="24"/>
      <c r="I345" s="25"/>
    </row>
    <row r="346" ht="15.75" customHeight="1">
      <c r="B346" s="13"/>
      <c r="D346" s="16"/>
      <c r="E346" s="16"/>
      <c r="F346" s="19"/>
      <c r="G346" s="20"/>
      <c r="H346" s="24"/>
      <c r="I346" s="25"/>
    </row>
    <row r="347" ht="15.75" customHeight="1">
      <c r="B347" s="13"/>
      <c r="D347" s="16"/>
      <c r="E347" s="16"/>
      <c r="F347" s="19"/>
      <c r="G347" s="20"/>
      <c r="H347" s="24"/>
      <c r="I347" s="25"/>
    </row>
    <row r="348" ht="15.75" customHeight="1">
      <c r="B348" s="13"/>
      <c r="D348" s="16"/>
      <c r="E348" s="16"/>
      <c r="F348" s="19"/>
      <c r="G348" s="20"/>
      <c r="H348" s="24"/>
      <c r="I348" s="25"/>
    </row>
    <row r="349" ht="15.75" customHeight="1">
      <c r="B349" s="13"/>
      <c r="D349" s="16"/>
      <c r="E349" s="16"/>
      <c r="F349" s="19"/>
      <c r="G349" s="20"/>
      <c r="H349" s="24"/>
      <c r="I349" s="25"/>
    </row>
    <row r="350" ht="15.75" customHeight="1">
      <c r="B350" s="13"/>
      <c r="D350" s="16"/>
      <c r="E350" s="16"/>
      <c r="F350" s="19"/>
      <c r="G350" s="20"/>
      <c r="H350" s="24"/>
      <c r="I350" s="25"/>
    </row>
    <row r="351" ht="15.75" customHeight="1">
      <c r="B351" s="13"/>
      <c r="D351" s="16"/>
      <c r="E351" s="16"/>
      <c r="F351" s="19"/>
      <c r="G351" s="20"/>
      <c r="H351" s="24"/>
      <c r="I351" s="25"/>
    </row>
    <row r="352" ht="15.75" customHeight="1">
      <c r="B352" s="13"/>
      <c r="D352" s="16"/>
      <c r="E352" s="16"/>
      <c r="F352" s="19"/>
      <c r="G352" s="20"/>
      <c r="H352" s="24"/>
      <c r="I352" s="25"/>
    </row>
    <row r="353" ht="15.75" customHeight="1">
      <c r="B353" s="13"/>
      <c r="D353" s="16"/>
      <c r="E353" s="16"/>
      <c r="F353" s="19"/>
      <c r="G353" s="20"/>
      <c r="H353" s="24"/>
      <c r="I353" s="25"/>
    </row>
    <row r="354" ht="15.75" customHeight="1">
      <c r="B354" s="13"/>
      <c r="D354" s="16"/>
      <c r="E354" s="16"/>
      <c r="F354" s="19"/>
      <c r="G354" s="20"/>
      <c r="H354" s="24"/>
      <c r="I354" s="25"/>
    </row>
    <row r="355" ht="15.75" customHeight="1">
      <c r="B355" s="13"/>
      <c r="D355" s="16"/>
      <c r="E355" s="16"/>
      <c r="F355" s="19"/>
      <c r="G355" s="20"/>
      <c r="H355" s="24"/>
      <c r="I355" s="25"/>
    </row>
    <row r="356" ht="15.75" customHeight="1">
      <c r="B356" s="13"/>
      <c r="D356" s="16"/>
      <c r="E356" s="16"/>
      <c r="F356" s="19"/>
      <c r="G356" s="20"/>
      <c r="H356" s="24"/>
      <c r="I356" s="25"/>
    </row>
    <row r="357" ht="15.75" customHeight="1">
      <c r="B357" s="13"/>
      <c r="D357" s="16"/>
      <c r="E357" s="16"/>
      <c r="F357" s="19"/>
      <c r="G357" s="20"/>
      <c r="H357" s="24"/>
      <c r="I357" s="25"/>
    </row>
    <row r="358" ht="15.75" customHeight="1">
      <c r="B358" s="13"/>
      <c r="D358" s="16"/>
      <c r="E358" s="16"/>
      <c r="F358" s="19"/>
      <c r="G358" s="20"/>
      <c r="H358" s="24"/>
      <c r="I358" s="25"/>
    </row>
    <row r="359" ht="15.75" customHeight="1">
      <c r="B359" s="13"/>
      <c r="D359" s="16"/>
      <c r="E359" s="16"/>
      <c r="F359" s="19"/>
      <c r="G359" s="20"/>
      <c r="H359" s="24"/>
      <c r="I359" s="25"/>
    </row>
    <row r="360" ht="15.75" customHeight="1">
      <c r="B360" s="13"/>
      <c r="D360" s="16"/>
      <c r="E360" s="16"/>
      <c r="F360" s="19"/>
      <c r="G360" s="20"/>
      <c r="H360" s="24"/>
      <c r="I360" s="25"/>
    </row>
    <row r="361" ht="15.75" customHeight="1">
      <c r="B361" s="13"/>
      <c r="D361" s="16"/>
      <c r="E361" s="16"/>
      <c r="F361" s="19"/>
      <c r="G361" s="20"/>
      <c r="H361" s="24"/>
      <c r="I361" s="25"/>
    </row>
    <row r="362" ht="15.75" customHeight="1">
      <c r="B362" s="13"/>
      <c r="D362" s="16"/>
      <c r="E362" s="16"/>
      <c r="F362" s="19"/>
      <c r="G362" s="20"/>
      <c r="H362" s="24"/>
      <c r="I362" s="25"/>
    </row>
    <row r="363" ht="15.75" customHeight="1">
      <c r="B363" s="13"/>
      <c r="D363" s="16"/>
      <c r="E363" s="16"/>
      <c r="F363" s="19"/>
      <c r="G363" s="20"/>
      <c r="H363" s="24"/>
      <c r="I363" s="25"/>
    </row>
    <row r="364" ht="15.75" customHeight="1">
      <c r="B364" s="13"/>
      <c r="D364" s="16"/>
      <c r="E364" s="16"/>
      <c r="F364" s="19"/>
      <c r="G364" s="20"/>
      <c r="H364" s="24"/>
      <c r="I364" s="25"/>
    </row>
    <row r="365" ht="15.75" customHeight="1">
      <c r="B365" s="13"/>
      <c r="D365" s="16"/>
      <c r="E365" s="16"/>
      <c r="F365" s="19"/>
      <c r="G365" s="20"/>
      <c r="H365" s="24"/>
      <c r="I365" s="25"/>
    </row>
    <row r="366" ht="15.75" customHeight="1">
      <c r="B366" s="13"/>
      <c r="D366" s="16"/>
      <c r="E366" s="16"/>
      <c r="F366" s="19"/>
      <c r="G366" s="20"/>
      <c r="H366" s="24"/>
      <c r="I366" s="25"/>
    </row>
    <row r="367" ht="15.75" customHeight="1">
      <c r="B367" s="13"/>
      <c r="D367" s="16"/>
      <c r="E367" s="16"/>
      <c r="F367" s="19"/>
      <c r="G367" s="20"/>
      <c r="H367" s="24"/>
      <c r="I367" s="25"/>
    </row>
    <row r="368" ht="15.75" customHeight="1">
      <c r="B368" s="13"/>
      <c r="D368" s="16"/>
      <c r="E368" s="16"/>
      <c r="F368" s="19"/>
      <c r="G368" s="20"/>
      <c r="H368" s="24"/>
      <c r="I368" s="25"/>
    </row>
    <row r="369" ht="15.75" customHeight="1">
      <c r="B369" s="13"/>
      <c r="D369" s="16"/>
      <c r="E369" s="16"/>
      <c r="F369" s="19"/>
      <c r="G369" s="20"/>
      <c r="H369" s="24"/>
      <c r="I369" s="25"/>
    </row>
    <row r="370" ht="15.75" customHeight="1">
      <c r="B370" s="13"/>
      <c r="D370" s="16"/>
      <c r="E370" s="16"/>
      <c r="F370" s="19"/>
      <c r="G370" s="20"/>
      <c r="H370" s="24"/>
      <c r="I370" s="25"/>
    </row>
    <row r="371" ht="15.75" customHeight="1">
      <c r="B371" s="13"/>
      <c r="D371" s="16"/>
      <c r="E371" s="16"/>
      <c r="F371" s="19"/>
      <c r="G371" s="20"/>
      <c r="H371" s="24"/>
      <c r="I371" s="25"/>
    </row>
    <row r="372" ht="15.75" customHeight="1">
      <c r="B372" s="13"/>
      <c r="D372" s="16"/>
      <c r="E372" s="16"/>
      <c r="F372" s="19"/>
      <c r="G372" s="20"/>
      <c r="H372" s="24"/>
      <c r="I372" s="25"/>
    </row>
    <row r="373" ht="15.75" customHeight="1">
      <c r="B373" s="13"/>
      <c r="D373" s="16"/>
      <c r="E373" s="16"/>
      <c r="F373" s="19"/>
      <c r="G373" s="20"/>
      <c r="H373" s="24"/>
      <c r="I373" s="25"/>
    </row>
    <row r="374" ht="15.75" customHeight="1">
      <c r="B374" s="13"/>
      <c r="D374" s="16"/>
      <c r="E374" s="16"/>
      <c r="F374" s="19"/>
      <c r="G374" s="20"/>
      <c r="H374" s="24"/>
      <c r="I374" s="25"/>
    </row>
    <row r="375" ht="15.75" customHeight="1">
      <c r="B375" s="13"/>
      <c r="D375" s="16"/>
      <c r="E375" s="16"/>
      <c r="F375" s="19"/>
      <c r="G375" s="20"/>
      <c r="H375" s="24"/>
      <c r="I375" s="25"/>
    </row>
    <row r="376" ht="15.75" customHeight="1">
      <c r="B376" s="13"/>
      <c r="D376" s="16"/>
      <c r="E376" s="16"/>
      <c r="F376" s="19"/>
      <c r="G376" s="20"/>
      <c r="H376" s="24"/>
      <c r="I376" s="25"/>
    </row>
    <row r="377" ht="15.75" customHeight="1">
      <c r="B377" s="13"/>
      <c r="D377" s="16"/>
      <c r="E377" s="16"/>
      <c r="F377" s="19"/>
      <c r="G377" s="20"/>
      <c r="H377" s="24"/>
      <c r="I377" s="25"/>
    </row>
    <row r="378" ht="15.75" customHeight="1">
      <c r="B378" s="13"/>
      <c r="D378" s="16"/>
      <c r="E378" s="16"/>
      <c r="F378" s="19"/>
      <c r="G378" s="20"/>
      <c r="H378" s="24"/>
      <c r="I378" s="25"/>
    </row>
    <row r="379" ht="15.75" customHeight="1">
      <c r="B379" s="13"/>
      <c r="D379" s="16"/>
      <c r="E379" s="16"/>
      <c r="F379" s="19"/>
      <c r="G379" s="20"/>
      <c r="H379" s="24"/>
      <c r="I379" s="25"/>
    </row>
    <row r="380" ht="15.75" customHeight="1">
      <c r="B380" s="13"/>
      <c r="D380" s="16"/>
      <c r="E380" s="16"/>
      <c r="F380" s="19"/>
      <c r="G380" s="20"/>
      <c r="H380" s="24"/>
      <c r="I380" s="25"/>
    </row>
    <row r="381" ht="15.75" customHeight="1">
      <c r="B381" s="13"/>
      <c r="D381" s="16"/>
      <c r="E381" s="16"/>
      <c r="F381" s="19"/>
      <c r="G381" s="20"/>
      <c r="H381" s="24"/>
      <c r="I381" s="25"/>
    </row>
    <row r="382" ht="15.75" customHeight="1">
      <c r="B382" s="13"/>
      <c r="D382" s="16"/>
      <c r="E382" s="16"/>
      <c r="F382" s="19"/>
      <c r="G382" s="20"/>
      <c r="H382" s="24"/>
      <c r="I382" s="25"/>
    </row>
    <row r="383" ht="15.75" customHeight="1">
      <c r="B383" s="13"/>
      <c r="D383" s="16"/>
      <c r="E383" s="16"/>
      <c r="F383" s="19"/>
      <c r="G383" s="20"/>
      <c r="H383" s="24"/>
      <c r="I383" s="25"/>
    </row>
    <row r="384" ht="15.75" customHeight="1">
      <c r="B384" s="13"/>
      <c r="D384" s="16"/>
      <c r="E384" s="16"/>
      <c r="F384" s="19"/>
      <c r="G384" s="20"/>
      <c r="H384" s="24"/>
      <c r="I384" s="25"/>
    </row>
    <row r="385" ht="15.75" customHeight="1">
      <c r="B385" s="13"/>
      <c r="D385" s="16"/>
      <c r="E385" s="16"/>
      <c r="F385" s="19"/>
      <c r="G385" s="20"/>
      <c r="H385" s="24"/>
      <c r="I385" s="25"/>
    </row>
    <row r="386" ht="15.75" customHeight="1">
      <c r="B386" s="13"/>
      <c r="D386" s="16"/>
      <c r="E386" s="16"/>
      <c r="F386" s="19"/>
      <c r="G386" s="20"/>
      <c r="H386" s="24"/>
      <c r="I386" s="25"/>
    </row>
    <row r="387" ht="15.75" customHeight="1">
      <c r="B387" s="13"/>
      <c r="D387" s="16"/>
      <c r="E387" s="16"/>
      <c r="F387" s="19"/>
      <c r="G387" s="20"/>
      <c r="H387" s="24"/>
      <c r="I387" s="25"/>
    </row>
    <row r="388" ht="15.75" customHeight="1">
      <c r="B388" s="13"/>
      <c r="D388" s="16"/>
      <c r="E388" s="16"/>
      <c r="F388" s="19"/>
      <c r="G388" s="20"/>
      <c r="H388" s="24"/>
      <c r="I388" s="25"/>
    </row>
    <row r="389" ht="15.75" customHeight="1">
      <c r="B389" s="13"/>
      <c r="D389" s="16"/>
      <c r="E389" s="16"/>
      <c r="F389" s="19"/>
      <c r="G389" s="20"/>
      <c r="H389" s="24"/>
      <c r="I389" s="25"/>
    </row>
    <row r="390" ht="15.75" customHeight="1">
      <c r="B390" s="13"/>
      <c r="D390" s="16"/>
      <c r="E390" s="16"/>
      <c r="F390" s="19"/>
      <c r="G390" s="20"/>
      <c r="H390" s="24"/>
      <c r="I390" s="25"/>
    </row>
    <row r="391" ht="15.75" customHeight="1">
      <c r="B391" s="13"/>
      <c r="D391" s="16"/>
      <c r="E391" s="16"/>
      <c r="F391" s="19"/>
      <c r="G391" s="20"/>
      <c r="H391" s="24"/>
      <c r="I391" s="25"/>
    </row>
    <row r="392" ht="15.75" customHeight="1">
      <c r="B392" s="13"/>
      <c r="D392" s="16"/>
      <c r="E392" s="16"/>
      <c r="F392" s="19"/>
      <c r="G392" s="20"/>
      <c r="H392" s="24"/>
      <c r="I392" s="25"/>
    </row>
    <row r="393" ht="15.75" customHeight="1">
      <c r="B393" s="13"/>
      <c r="D393" s="16"/>
      <c r="E393" s="16"/>
      <c r="F393" s="19"/>
      <c r="G393" s="20"/>
      <c r="H393" s="24"/>
      <c r="I393" s="25"/>
    </row>
    <row r="394" ht="15.75" customHeight="1">
      <c r="B394" s="13"/>
      <c r="D394" s="16"/>
      <c r="E394" s="16"/>
      <c r="F394" s="19"/>
      <c r="G394" s="20"/>
      <c r="H394" s="24"/>
      <c r="I394" s="25"/>
    </row>
    <row r="395" ht="15.75" customHeight="1">
      <c r="B395" s="13"/>
      <c r="D395" s="16"/>
      <c r="E395" s="16"/>
      <c r="F395" s="19"/>
      <c r="G395" s="20"/>
      <c r="H395" s="24"/>
      <c r="I395" s="25"/>
    </row>
    <row r="396" ht="15.75" customHeight="1">
      <c r="B396" s="13"/>
      <c r="D396" s="16"/>
      <c r="E396" s="16"/>
      <c r="F396" s="19"/>
      <c r="G396" s="20"/>
      <c r="H396" s="24"/>
      <c r="I396" s="25"/>
    </row>
    <row r="397" ht="15.75" customHeight="1">
      <c r="B397" s="13"/>
      <c r="D397" s="16"/>
      <c r="E397" s="16"/>
      <c r="F397" s="19"/>
      <c r="G397" s="20"/>
      <c r="H397" s="24"/>
      <c r="I397" s="25"/>
    </row>
    <row r="398" ht="15.75" customHeight="1">
      <c r="B398" s="13"/>
      <c r="D398" s="16"/>
      <c r="E398" s="16"/>
      <c r="F398" s="19"/>
      <c r="G398" s="20"/>
      <c r="H398" s="24"/>
      <c r="I398" s="25"/>
    </row>
    <row r="399" ht="15.75" customHeight="1">
      <c r="B399" s="13"/>
      <c r="D399" s="16"/>
      <c r="E399" s="16"/>
      <c r="F399" s="19"/>
      <c r="G399" s="20"/>
      <c r="H399" s="24"/>
      <c r="I399" s="25"/>
    </row>
    <row r="400" ht="15.75" customHeight="1">
      <c r="B400" s="13"/>
      <c r="D400" s="16"/>
      <c r="E400" s="16"/>
      <c r="F400" s="19"/>
      <c r="G400" s="20"/>
      <c r="H400" s="24"/>
      <c r="I400" s="25"/>
    </row>
    <row r="401" ht="15.75" customHeight="1">
      <c r="B401" s="13"/>
      <c r="D401" s="16"/>
      <c r="E401" s="16"/>
      <c r="F401" s="19"/>
      <c r="G401" s="20"/>
      <c r="H401" s="24"/>
      <c r="I401" s="25"/>
    </row>
    <row r="402" ht="15.75" customHeight="1">
      <c r="B402" s="13"/>
      <c r="D402" s="16"/>
      <c r="E402" s="16"/>
      <c r="F402" s="19"/>
      <c r="G402" s="20"/>
      <c r="H402" s="24"/>
      <c r="I402" s="25"/>
    </row>
    <row r="403" ht="15.75" customHeight="1">
      <c r="B403" s="13"/>
      <c r="D403" s="16"/>
      <c r="E403" s="16"/>
      <c r="F403" s="19"/>
      <c r="G403" s="20"/>
      <c r="H403" s="24"/>
      <c r="I403" s="25"/>
    </row>
    <row r="404" ht="15.75" customHeight="1">
      <c r="B404" s="13"/>
      <c r="D404" s="16"/>
      <c r="E404" s="16"/>
      <c r="F404" s="19"/>
      <c r="G404" s="20"/>
      <c r="H404" s="24"/>
      <c r="I404" s="25"/>
    </row>
    <row r="405" ht="15.75" customHeight="1">
      <c r="B405" s="13"/>
      <c r="D405" s="16"/>
      <c r="E405" s="16"/>
      <c r="F405" s="19"/>
      <c r="G405" s="20"/>
      <c r="H405" s="24"/>
      <c r="I405" s="25"/>
    </row>
    <row r="406" ht="15.75" customHeight="1">
      <c r="B406" s="13"/>
      <c r="D406" s="16"/>
      <c r="E406" s="16"/>
      <c r="F406" s="19"/>
      <c r="G406" s="20"/>
      <c r="H406" s="24"/>
      <c r="I406" s="25"/>
    </row>
    <row r="407" ht="15.75" customHeight="1">
      <c r="B407" s="13"/>
      <c r="D407" s="16"/>
      <c r="E407" s="16"/>
      <c r="F407" s="19"/>
      <c r="G407" s="20"/>
      <c r="H407" s="24"/>
      <c r="I407" s="25"/>
    </row>
    <row r="408" ht="15.75" customHeight="1">
      <c r="B408" s="13"/>
      <c r="D408" s="16"/>
      <c r="E408" s="16"/>
      <c r="F408" s="19"/>
      <c r="G408" s="20"/>
      <c r="H408" s="24"/>
      <c r="I408" s="25"/>
    </row>
    <row r="409" ht="15.75" customHeight="1">
      <c r="B409" s="13"/>
      <c r="D409" s="16"/>
      <c r="E409" s="16"/>
      <c r="F409" s="19"/>
      <c r="G409" s="20"/>
      <c r="H409" s="24"/>
      <c r="I409" s="25"/>
    </row>
    <row r="410" ht="15.75" customHeight="1">
      <c r="B410" s="13"/>
      <c r="D410" s="16"/>
      <c r="E410" s="16"/>
      <c r="F410" s="19"/>
      <c r="G410" s="20"/>
      <c r="H410" s="24"/>
      <c r="I410" s="25"/>
    </row>
    <row r="411" ht="15.75" customHeight="1">
      <c r="B411" s="13"/>
      <c r="D411" s="16"/>
      <c r="E411" s="16"/>
      <c r="F411" s="19"/>
      <c r="G411" s="20"/>
      <c r="H411" s="24"/>
      <c r="I411" s="25"/>
    </row>
    <row r="412" ht="15.75" customHeight="1">
      <c r="B412" s="13"/>
      <c r="D412" s="16"/>
      <c r="E412" s="16"/>
      <c r="F412" s="19"/>
      <c r="G412" s="20"/>
      <c r="H412" s="24"/>
      <c r="I412" s="25"/>
    </row>
    <row r="413" ht="15.75" customHeight="1">
      <c r="B413" s="13"/>
      <c r="D413" s="16"/>
      <c r="E413" s="16"/>
      <c r="F413" s="19"/>
      <c r="G413" s="20"/>
      <c r="H413" s="24"/>
      <c r="I413" s="25"/>
    </row>
    <row r="414" ht="15.75" customHeight="1">
      <c r="B414" s="13"/>
      <c r="D414" s="16"/>
      <c r="E414" s="16"/>
      <c r="F414" s="19"/>
      <c r="G414" s="20"/>
      <c r="H414" s="24"/>
      <c r="I414" s="25"/>
    </row>
    <row r="415" ht="15.75" customHeight="1">
      <c r="B415" s="13"/>
      <c r="D415" s="16"/>
      <c r="E415" s="16"/>
      <c r="F415" s="19"/>
      <c r="G415" s="20"/>
      <c r="H415" s="24"/>
      <c r="I415" s="25"/>
    </row>
    <row r="416" ht="15.75" customHeight="1">
      <c r="B416" s="13"/>
      <c r="D416" s="16"/>
      <c r="E416" s="16"/>
      <c r="F416" s="19"/>
      <c r="G416" s="20"/>
      <c r="H416" s="24"/>
      <c r="I416" s="25"/>
    </row>
    <row r="417" ht="15.75" customHeight="1">
      <c r="B417" s="13"/>
      <c r="D417" s="16"/>
      <c r="E417" s="16"/>
      <c r="F417" s="19"/>
      <c r="G417" s="20"/>
      <c r="H417" s="24"/>
      <c r="I417" s="25"/>
    </row>
    <row r="418" ht="15.75" customHeight="1">
      <c r="B418" s="13"/>
      <c r="D418" s="16"/>
      <c r="E418" s="16"/>
      <c r="F418" s="19"/>
      <c r="G418" s="20"/>
      <c r="H418" s="24"/>
      <c r="I418" s="25"/>
    </row>
    <row r="419" ht="15.75" customHeight="1">
      <c r="B419" s="13"/>
      <c r="D419" s="16"/>
      <c r="E419" s="16"/>
      <c r="F419" s="19"/>
      <c r="G419" s="20"/>
      <c r="H419" s="24"/>
      <c r="I419" s="25"/>
    </row>
    <row r="420" ht="15.75" customHeight="1">
      <c r="B420" s="13"/>
      <c r="D420" s="16"/>
      <c r="E420" s="16"/>
      <c r="F420" s="19"/>
      <c r="G420" s="20"/>
      <c r="H420" s="24"/>
      <c r="I420" s="25"/>
    </row>
    <row r="421" ht="15.75" customHeight="1">
      <c r="B421" s="13"/>
      <c r="D421" s="16"/>
      <c r="E421" s="16"/>
      <c r="F421" s="19"/>
      <c r="G421" s="20"/>
      <c r="H421" s="24"/>
      <c r="I421" s="25"/>
    </row>
    <row r="422" ht="15.75" customHeight="1">
      <c r="B422" s="13"/>
      <c r="D422" s="16"/>
      <c r="E422" s="16"/>
      <c r="F422" s="19"/>
      <c r="G422" s="20"/>
      <c r="H422" s="24"/>
      <c r="I422" s="25"/>
    </row>
    <row r="423" ht="15.75" customHeight="1">
      <c r="B423" s="13"/>
      <c r="D423" s="16"/>
      <c r="E423" s="16"/>
      <c r="F423" s="19"/>
      <c r="G423" s="20"/>
      <c r="H423" s="24"/>
      <c r="I423" s="25"/>
    </row>
    <row r="424" ht="15.75" customHeight="1">
      <c r="B424" s="13"/>
      <c r="D424" s="16"/>
      <c r="E424" s="16"/>
      <c r="F424" s="19"/>
      <c r="G424" s="20"/>
      <c r="H424" s="24"/>
      <c r="I424" s="25"/>
    </row>
    <row r="425" ht="15.75" customHeight="1">
      <c r="B425" s="13"/>
      <c r="D425" s="16"/>
      <c r="E425" s="16"/>
      <c r="F425" s="19"/>
      <c r="G425" s="20"/>
      <c r="H425" s="24"/>
      <c r="I425" s="25"/>
    </row>
    <row r="426" ht="15.75" customHeight="1">
      <c r="B426" s="13"/>
      <c r="D426" s="16"/>
      <c r="E426" s="16"/>
      <c r="F426" s="19"/>
      <c r="G426" s="20"/>
      <c r="H426" s="24"/>
      <c r="I426" s="25"/>
    </row>
    <row r="427" ht="15.75" customHeight="1">
      <c r="B427" s="13"/>
      <c r="D427" s="16"/>
      <c r="E427" s="16"/>
      <c r="F427" s="19"/>
      <c r="G427" s="20"/>
      <c r="H427" s="24"/>
      <c r="I427" s="25"/>
    </row>
    <row r="428" ht="15.75" customHeight="1">
      <c r="B428" s="13"/>
      <c r="D428" s="16"/>
      <c r="E428" s="16"/>
      <c r="F428" s="19"/>
      <c r="G428" s="20"/>
      <c r="H428" s="24"/>
      <c r="I428" s="25"/>
    </row>
    <row r="429" ht="15.75" customHeight="1">
      <c r="B429" s="13"/>
      <c r="D429" s="16"/>
      <c r="E429" s="16"/>
      <c r="F429" s="19"/>
      <c r="G429" s="20"/>
      <c r="H429" s="24"/>
      <c r="I429" s="25"/>
    </row>
    <row r="430" ht="15.75" customHeight="1">
      <c r="B430" s="13"/>
      <c r="D430" s="16"/>
      <c r="E430" s="16"/>
      <c r="F430" s="19"/>
      <c r="G430" s="20"/>
      <c r="H430" s="24"/>
      <c r="I430" s="25"/>
    </row>
    <row r="431" ht="15.75" customHeight="1">
      <c r="B431" s="13"/>
      <c r="D431" s="16"/>
      <c r="E431" s="16"/>
      <c r="F431" s="19"/>
      <c r="G431" s="20"/>
      <c r="H431" s="24"/>
      <c r="I431" s="25"/>
    </row>
    <row r="432" ht="15.75" customHeight="1">
      <c r="B432" s="13"/>
      <c r="D432" s="16"/>
      <c r="E432" s="16"/>
      <c r="F432" s="19"/>
      <c r="G432" s="20"/>
      <c r="H432" s="24"/>
      <c r="I432" s="25"/>
    </row>
    <row r="433" ht="15.75" customHeight="1">
      <c r="B433" s="13"/>
      <c r="D433" s="16"/>
      <c r="E433" s="16"/>
      <c r="F433" s="19"/>
      <c r="G433" s="20"/>
      <c r="H433" s="24"/>
      <c r="I433" s="25"/>
    </row>
    <row r="434" ht="15.75" customHeight="1">
      <c r="B434" s="13"/>
      <c r="D434" s="16"/>
      <c r="E434" s="16"/>
      <c r="F434" s="19"/>
      <c r="G434" s="20"/>
      <c r="H434" s="24"/>
      <c r="I434" s="25"/>
    </row>
    <row r="435" ht="15.75" customHeight="1">
      <c r="B435" s="13"/>
      <c r="D435" s="16"/>
      <c r="E435" s="16"/>
      <c r="F435" s="19"/>
      <c r="G435" s="20"/>
      <c r="H435" s="24"/>
      <c r="I435" s="25"/>
    </row>
    <row r="436" ht="15.75" customHeight="1">
      <c r="B436" s="13"/>
      <c r="D436" s="16"/>
      <c r="E436" s="16"/>
      <c r="F436" s="19"/>
      <c r="G436" s="20"/>
      <c r="H436" s="24"/>
      <c r="I436" s="25"/>
    </row>
    <row r="437" ht="15.75" customHeight="1">
      <c r="B437" s="13"/>
      <c r="D437" s="16"/>
      <c r="E437" s="16"/>
      <c r="F437" s="19"/>
      <c r="G437" s="20"/>
      <c r="H437" s="24"/>
      <c r="I437" s="25"/>
    </row>
    <row r="438" ht="15.75" customHeight="1">
      <c r="B438" s="13"/>
      <c r="D438" s="16"/>
      <c r="E438" s="16"/>
      <c r="F438" s="19"/>
      <c r="G438" s="20"/>
      <c r="H438" s="24"/>
      <c r="I438" s="25"/>
    </row>
    <row r="439" ht="15.75" customHeight="1">
      <c r="B439" s="13"/>
      <c r="D439" s="16"/>
      <c r="E439" s="16"/>
      <c r="F439" s="19"/>
      <c r="G439" s="20"/>
      <c r="H439" s="24"/>
      <c r="I439" s="25"/>
    </row>
    <row r="440" ht="15.75" customHeight="1">
      <c r="B440" s="13"/>
      <c r="D440" s="16"/>
      <c r="E440" s="16"/>
      <c r="F440" s="19"/>
      <c r="G440" s="20"/>
      <c r="H440" s="24"/>
      <c r="I440" s="25"/>
    </row>
    <row r="441" ht="15.75" customHeight="1">
      <c r="B441" s="13"/>
      <c r="D441" s="16"/>
      <c r="E441" s="16"/>
      <c r="F441" s="19"/>
      <c r="G441" s="20"/>
      <c r="H441" s="24"/>
      <c r="I441" s="25"/>
    </row>
    <row r="442" ht="15.75" customHeight="1">
      <c r="B442" s="13"/>
      <c r="D442" s="16"/>
      <c r="E442" s="16"/>
      <c r="F442" s="19"/>
      <c r="G442" s="20"/>
      <c r="H442" s="24"/>
      <c r="I442" s="25"/>
    </row>
    <row r="443" ht="15.75" customHeight="1">
      <c r="B443" s="13"/>
      <c r="D443" s="16"/>
      <c r="E443" s="16"/>
      <c r="F443" s="19"/>
      <c r="G443" s="20"/>
      <c r="H443" s="24"/>
      <c r="I443" s="25"/>
    </row>
    <row r="444" ht="15.75" customHeight="1">
      <c r="B444" s="13"/>
      <c r="D444" s="16"/>
      <c r="E444" s="16"/>
      <c r="F444" s="19"/>
      <c r="G444" s="20"/>
      <c r="H444" s="24"/>
      <c r="I444" s="25"/>
    </row>
    <row r="445" ht="15.75" customHeight="1">
      <c r="B445" s="13"/>
      <c r="D445" s="16"/>
      <c r="E445" s="16"/>
      <c r="F445" s="19"/>
      <c r="G445" s="20"/>
      <c r="H445" s="24"/>
      <c r="I445" s="25"/>
    </row>
    <row r="446" ht="15.75" customHeight="1">
      <c r="B446" s="13"/>
      <c r="D446" s="16"/>
      <c r="E446" s="16"/>
      <c r="F446" s="19"/>
      <c r="G446" s="20"/>
      <c r="H446" s="24"/>
      <c r="I446" s="25"/>
    </row>
    <row r="447" ht="15.75" customHeight="1">
      <c r="B447" s="13"/>
      <c r="D447" s="16"/>
      <c r="E447" s="16"/>
      <c r="F447" s="19"/>
      <c r="G447" s="20"/>
      <c r="H447" s="24"/>
      <c r="I447" s="25"/>
    </row>
    <row r="448" ht="15.75" customHeight="1">
      <c r="B448" s="13"/>
      <c r="D448" s="16"/>
      <c r="E448" s="16"/>
      <c r="F448" s="19"/>
      <c r="G448" s="20"/>
      <c r="H448" s="24"/>
      <c r="I448" s="25"/>
    </row>
    <row r="449" ht="15.75" customHeight="1">
      <c r="B449" s="13"/>
      <c r="D449" s="16"/>
      <c r="E449" s="16"/>
      <c r="F449" s="19"/>
      <c r="G449" s="20"/>
      <c r="H449" s="24"/>
      <c r="I449" s="25"/>
    </row>
    <row r="450" ht="15.75" customHeight="1">
      <c r="B450" s="13"/>
      <c r="D450" s="16"/>
      <c r="E450" s="16"/>
      <c r="F450" s="19"/>
      <c r="G450" s="20"/>
      <c r="H450" s="24"/>
      <c r="I450" s="25"/>
    </row>
    <row r="451" ht="15.75" customHeight="1">
      <c r="B451" s="13"/>
      <c r="D451" s="16"/>
      <c r="E451" s="16"/>
      <c r="F451" s="19"/>
      <c r="G451" s="20"/>
      <c r="H451" s="24"/>
      <c r="I451" s="25"/>
    </row>
    <row r="452" ht="15.75" customHeight="1">
      <c r="B452" s="13"/>
      <c r="D452" s="16"/>
      <c r="E452" s="16"/>
      <c r="F452" s="19"/>
      <c r="G452" s="20"/>
      <c r="H452" s="24"/>
      <c r="I452" s="25"/>
    </row>
    <row r="453" ht="15.75" customHeight="1">
      <c r="B453" s="13"/>
      <c r="D453" s="16"/>
      <c r="E453" s="16"/>
      <c r="F453" s="19"/>
      <c r="G453" s="20"/>
      <c r="H453" s="24"/>
      <c r="I453" s="25"/>
    </row>
    <row r="454" ht="15.75" customHeight="1">
      <c r="B454" s="13"/>
      <c r="D454" s="16"/>
      <c r="E454" s="16"/>
      <c r="F454" s="19"/>
      <c r="G454" s="20"/>
      <c r="H454" s="24"/>
      <c r="I454" s="25"/>
    </row>
    <row r="455" ht="15.75" customHeight="1">
      <c r="B455" s="13"/>
      <c r="D455" s="16"/>
      <c r="E455" s="16"/>
      <c r="F455" s="19"/>
      <c r="G455" s="20"/>
      <c r="H455" s="24"/>
      <c r="I455" s="25"/>
    </row>
    <row r="456" ht="15.75" customHeight="1">
      <c r="B456" s="13"/>
      <c r="D456" s="16"/>
      <c r="E456" s="16"/>
      <c r="F456" s="19"/>
      <c r="G456" s="20"/>
      <c r="H456" s="24"/>
      <c r="I456" s="25"/>
    </row>
    <row r="457" ht="15.75" customHeight="1">
      <c r="B457" s="13"/>
      <c r="D457" s="16"/>
      <c r="E457" s="16"/>
      <c r="F457" s="19"/>
      <c r="G457" s="20"/>
      <c r="H457" s="24"/>
      <c r="I457" s="25"/>
    </row>
    <row r="458" ht="15.75" customHeight="1">
      <c r="B458" s="13"/>
      <c r="D458" s="16"/>
      <c r="E458" s="16"/>
      <c r="F458" s="19"/>
      <c r="G458" s="20"/>
      <c r="H458" s="24"/>
      <c r="I458" s="25"/>
    </row>
    <row r="459" ht="15.75" customHeight="1">
      <c r="B459" s="13"/>
      <c r="D459" s="16"/>
      <c r="E459" s="16"/>
      <c r="F459" s="19"/>
      <c r="G459" s="20"/>
      <c r="H459" s="24"/>
      <c r="I459" s="25"/>
    </row>
    <row r="460" ht="15.75" customHeight="1">
      <c r="B460" s="13"/>
      <c r="D460" s="16"/>
      <c r="E460" s="16"/>
      <c r="F460" s="19"/>
      <c r="G460" s="20"/>
      <c r="H460" s="24"/>
      <c r="I460" s="25"/>
    </row>
    <row r="461" ht="15.75" customHeight="1">
      <c r="B461" s="13"/>
      <c r="D461" s="16"/>
      <c r="E461" s="16"/>
      <c r="F461" s="19"/>
      <c r="G461" s="20"/>
      <c r="H461" s="24"/>
      <c r="I461" s="25"/>
    </row>
    <row r="462" ht="15.75" customHeight="1">
      <c r="B462" s="13"/>
      <c r="D462" s="16"/>
      <c r="E462" s="16"/>
      <c r="F462" s="19"/>
      <c r="G462" s="20"/>
      <c r="H462" s="24"/>
      <c r="I462" s="25"/>
    </row>
    <row r="463" ht="15.75" customHeight="1">
      <c r="B463" s="13"/>
      <c r="D463" s="16"/>
      <c r="E463" s="16"/>
      <c r="F463" s="19"/>
      <c r="G463" s="20"/>
      <c r="H463" s="24"/>
      <c r="I463" s="25"/>
    </row>
    <row r="464" ht="15.75" customHeight="1">
      <c r="B464" s="13"/>
      <c r="D464" s="16"/>
      <c r="E464" s="16"/>
      <c r="F464" s="19"/>
      <c r="G464" s="20"/>
      <c r="H464" s="24"/>
      <c r="I464" s="25"/>
    </row>
    <row r="465" ht="15.75" customHeight="1">
      <c r="B465" s="13"/>
      <c r="D465" s="16"/>
      <c r="E465" s="16"/>
      <c r="F465" s="19"/>
      <c r="G465" s="20"/>
      <c r="H465" s="24"/>
      <c r="I465" s="25"/>
    </row>
    <row r="466" ht="15.75" customHeight="1">
      <c r="B466" s="13"/>
      <c r="D466" s="16"/>
      <c r="E466" s="16"/>
      <c r="F466" s="19"/>
      <c r="G466" s="20"/>
      <c r="H466" s="24"/>
      <c r="I466" s="25"/>
    </row>
    <row r="467" ht="15.75" customHeight="1">
      <c r="B467" s="13"/>
      <c r="D467" s="16"/>
      <c r="E467" s="16"/>
      <c r="F467" s="19"/>
      <c r="G467" s="20"/>
      <c r="H467" s="24"/>
      <c r="I467" s="25"/>
    </row>
    <row r="468" ht="15.75" customHeight="1">
      <c r="B468" s="13"/>
      <c r="D468" s="16"/>
      <c r="E468" s="16"/>
      <c r="F468" s="19"/>
      <c r="G468" s="20"/>
      <c r="H468" s="24"/>
      <c r="I468" s="25"/>
    </row>
    <row r="469" ht="15.75" customHeight="1">
      <c r="B469" s="13"/>
      <c r="D469" s="16"/>
      <c r="E469" s="16"/>
      <c r="F469" s="19"/>
      <c r="G469" s="20"/>
      <c r="H469" s="24"/>
      <c r="I469" s="25"/>
    </row>
    <row r="470" ht="15.75" customHeight="1">
      <c r="B470" s="13"/>
      <c r="D470" s="16"/>
      <c r="E470" s="16"/>
      <c r="F470" s="19"/>
      <c r="G470" s="20"/>
      <c r="H470" s="24"/>
      <c r="I470" s="25"/>
    </row>
    <row r="471" ht="15.75" customHeight="1">
      <c r="B471" s="13"/>
      <c r="D471" s="16"/>
      <c r="E471" s="16"/>
      <c r="F471" s="19"/>
      <c r="G471" s="20"/>
      <c r="H471" s="24"/>
      <c r="I471" s="25"/>
    </row>
    <row r="472" ht="15.75" customHeight="1">
      <c r="B472" s="13"/>
      <c r="D472" s="16"/>
      <c r="E472" s="16"/>
      <c r="F472" s="19"/>
      <c r="G472" s="20"/>
      <c r="H472" s="24"/>
      <c r="I472" s="25"/>
    </row>
    <row r="473" ht="15.75" customHeight="1">
      <c r="B473" s="13"/>
      <c r="D473" s="16"/>
      <c r="E473" s="16"/>
      <c r="F473" s="19"/>
      <c r="G473" s="20"/>
      <c r="H473" s="24"/>
      <c r="I473" s="25"/>
    </row>
    <row r="474" ht="15.75" customHeight="1">
      <c r="B474" s="13"/>
      <c r="D474" s="16"/>
      <c r="E474" s="16"/>
      <c r="F474" s="19"/>
      <c r="G474" s="20"/>
      <c r="H474" s="24"/>
      <c r="I474" s="25"/>
    </row>
    <row r="475" ht="15.75" customHeight="1">
      <c r="B475" s="13"/>
      <c r="D475" s="16"/>
      <c r="E475" s="16"/>
      <c r="F475" s="19"/>
      <c r="G475" s="20"/>
      <c r="H475" s="24"/>
      <c r="I475" s="25"/>
    </row>
    <row r="476" ht="15.75" customHeight="1">
      <c r="B476" s="13"/>
      <c r="D476" s="16"/>
      <c r="E476" s="16"/>
      <c r="F476" s="19"/>
      <c r="G476" s="20"/>
      <c r="H476" s="24"/>
      <c r="I476" s="25"/>
    </row>
    <row r="477" ht="15.75" customHeight="1">
      <c r="B477" s="13"/>
      <c r="D477" s="16"/>
      <c r="E477" s="16"/>
      <c r="F477" s="19"/>
      <c r="G477" s="20"/>
      <c r="H477" s="24"/>
      <c r="I477" s="25"/>
    </row>
    <row r="478" ht="15.75" customHeight="1">
      <c r="B478" s="13"/>
      <c r="D478" s="16"/>
      <c r="E478" s="16"/>
      <c r="F478" s="19"/>
      <c r="G478" s="20"/>
      <c r="H478" s="24"/>
      <c r="I478" s="25"/>
    </row>
    <row r="479" ht="15.75" customHeight="1">
      <c r="B479" s="13"/>
      <c r="D479" s="16"/>
      <c r="E479" s="16"/>
      <c r="F479" s="19"/>
      <c r="G479" s="20"/>
      <c r="H479" s="24"/>
      <c r="I479" s="25"/>
    </row>
    <row r="480" ht="15.75" customHeight="1">
      <c r="B480" s="13"/>
      <c r="D480" s="16"/>
      <c r="E480" s="16"/>
      <c r="F480" s="19"/>
      <c r="G480" s="20"/>
      <c r="H480" s="24"/>
      <c r="I480" s="25"/>
    </row>
    <row r="481" ht="15.75" customHeight="1">
      <c r="B481" s="13"/>
      <c r="D481" s="16"/>
      <c r="E481" s="16"/>
      <c r="F481" s="19"/>
      <c r="G481" s="20"/>
      <c r="H481" s="24"/>
      <c r="I481" s="25"/>
    </row>
    <row r="482" ht="15.75" customHeight="1">
      <c r="B482" s="13"/>
      <c r="D482" s="16"/>
      <c r="E482" s="16"/>
      <c r="F482" s="19"/>
      <c r="G482" s="20"/>
      <c r="H482" s="24"/>
      <c r="I482" s="25"/>
    </row>
    <row r="483" ht="15.75" customHeight="1">
      <c r="B483" s="13"/>
      <c r="D483" s="16"/>
      <c r="E483" s="16"/>
      <c r="F483" s="19"/>
      <c r="G483" s="20"/>
      <c r="H483" s="24"/>
      <c r="I483" s="25"/>
    </row>
    <row r="484" ht="15.75" customHeight="1">
      <c r="B484" s="13"/>
      <c r="D484" s="16"/>
      <c r="E484" s="16"/>
      <c r="F484" s="19"/>
      <c r="G484" s="20"/>
      <c r="H484" s="24"/>
      <c r="I484" s="25"/>
    </row>
    <row r="485" ht="15.75" customHeight="1">
      <c r="B485" s="13"/>
      <c r="D485" s="16"/>
      <c r="E485" s="16"/>
      <c r="F485" s="19"/>
      <c r="G485" s="20"/>
      <c r="H485" s="24"/>
      <c r="I485" s="25"/>
    </row>
    <row r="486" ht="15.75" customHeight="1">
      <c r="B486" s="13"/>
      <c r="D486" s="16"/>
      <c r="E486" s="16"/>
      <c r="F486" s="19"/>
      <c r="G486" s="20"/>
      <c r="H486" s="24"/>
      <c r="I486" s="25"/>
    </row>
    <row r="487" ht="15.75" customHeight="1">
      <c r="B487" s="13"/>
      <c r="D487" s="16"/>
      <c r="E487" s="16"/>
      <c r="F487" s="19"/>
      <c r="G487" s="20"/>
      <c r="H487" s="24"/>
      <c r="I487" s="25"/>
    </row>
    <row r="488" ht="15.75" customHeight="1">
      <c r="B488" s="13"/>
      <c r="D488" s="16"/>
      <c r="E488" s="16"/>
      <c r="F488" s="19"/>
      <c r="G488" s="20"/>
      <c r="H488" s="24"/>
      <c r="I488" s="25"/>
    </row>
    <row r="489" ht="15.75" customHeight="1">
      <c r="B489" s="13"/>
      <c r="D489" s="16"/>
      <c r="E489" s="16"/>
      <c r="F489" s="19"/>
      <c r="G489" s="20"/>
      <c r="H489" s="24"/>
      <c r="I489" s="25"/>
    </row>
    <row r="490" ht="15.75" customHeight="1">
      <c r="B490" s="13"/>
      <c r="D490" s="16"/>
      <c r="E490" s="16"/>
      <c r="F490" s="19"/>
      <c r="G490" s="20"/>
      <c r="H490" s="24"/>
      <c r="I490" s="25"/>
    </row>
    <row r="491" ht="15.75" customHeight="1">
      <c r="B491" s="13"/>
      <c r="D491" s="16"/>
      <c r="E491" s="16"/>
      <c r="F491" s="19"/>
      <c r="G491" s="20"/>
      <c r="H491" s="24"/>
      <c r="I491" s="25"/>
    </row>
    <row r="492" ht="15.75" customHeight="1">
      <c r="B492" s="13"/>
      <c r="D492" s="16"/>
      <c r="E492" s="16"/>
      <c r="F492" s="19"/>
      <c r="G492" s="20"/>
      <c r="H492" s="24"/>
      <c r="I492" s="25"/>
    </row>
    <row r="493" ht="15.75" customHeight="1">
      <c r="B493" s="13"/>
      <c r="D493" s="16"/>
      <c r="E493" s="16"/>
      <c r="F493" s="19"/>
      <c r="G493" s="20"/>
      <c r="H493" s="24"/>
      <c r="I493" s="25"/>
    </row>
    <row r="494" ht="15.75" customHeight="1">
      <c r="B494" s="13"/>
      <c r="D494" s="16"/>
      <c r="E494" s="16"/>
      <c r="F494" s="19"/>
      <c r="G494" s="20"/>
      <c r="H494" s="24"/>
      <c r="I494" s="25"/>
    </row>
    <row r="495" ht="15.75" customHeight="1">
      <c r="B495" s="13"/>
      <c r="D495" s="16"/>
      <c r="E495" s="16"/>
      <c r="F495" s="19"/>
      <c r="G495" s="20"/>
      <c r="H495" s="24"/>
      <c r="I495" s="25"/>
    </row>
    <row r="496" ht="15.75" customHeight="1">
      <c r="B496" s="13"/>
      <c r="D496" s="16"/>
      <c r="E496" s="16"/>
      <c r="F496" s="19"/>
      <c r="G496" s="20"/>
      <c r="H496" s="24"/>
      <c r="I496" s="25"/>
    </row>
    <row r="497" ht="15.75" customHeight="1">
      <c r="B497" s="13"/>
      <c r="D497" s="16"/>
      <c r="E497" s="16"/>
      <c r="F497" s="19"/>
      <c r="G497" s="20"/>
      <c r="H497" s="24"/>
      <c r="I497" s="25"/>
    </row>
    <row r="498" ht="15.75" customHeight="1">
      <c r="B498" s="13"/>
      <c r="D498" s="16"/>
      <c r="E498" s="16"/>
      <c r="F498" s="19"/>
      <c r="G498" s="20"/>
      <c r="H498" s="24"/>
      <c r="I498" s="25"/>
    </row>
    <row r="499" ht="15.75" customHeight="1">
      <c r="B499" s="13"/>
      <c r="D499" s="16"/>
      <c r="E499" s="16"/>
      <c r="F499" s="19"/>
      <c r="G499" s="20"/>
      <c r="H499" s="24"/>
      <c r="I499" s="25"/>
    </row>
    <row r="500" ht="15.75" customHeight="1">
      <c r="B500" s="13"/>
      <c r="D500" s="16"/>
      <c r="E500" s="16"/>
      <c r="F500" s="19"/>
      <c r="G500" s="20"/>
      <c r="H500" s="24"/>
      <c r="I500" s="25"/>
    </row>
    <row r="501" ht="15.75" customHeight="1">
      <c r="B501" s="13"/>
      <c r="D501" s="16"/>
      <c r="E501" s="16"/>
      <c r="F501" s="19"/>
      <c r="G501" s="20"/>
      <c r="H501" s="24"/>
      <c r="I501" s="25"/>
    </row>
    <row r="502" ht="15.75" customHeight="1">
      <c r="B502" s="13"/>
      <c r="D502" s="16"/>
      <c r="E502" s="16"/>
      <c r="F502" s="19"/>
      <c r="G502" s="20"/>
      <c r="H502" s="24"/>
      <c r="I502" s="25"/>
    </row>
    <row r="503" ht="15.75" customHeight="1">
      <c r="B503" s="13"/>
      <c r="D503" s="16"/>
      <c r="E503" s="16"/>
      <c r="F503" s="19"/>
      <c r="G503" s="20"/>
      <c r="H503" s="24"/>
      <c r="I503" s="25"/>
    </row>
    <row r="504" ht="15.75" customHeight="1">
      <c r="B504" s="13"/>
      <c r="D504" s="16"/>
      <c r="E504" s="16"/>
      <c r="F504" s="19"/>
      <c r="G504" s="20"/>
      <c r="H504" s="24"/>
      <c r="I504" s="25"/>
    </row>
    <row r="505" ht="15.75" customHeight="1">
      <c r="B505" s="13"/>
      <c r="D505" s="16"/>
      <c r="E505" s="16"/>
      <c r="F505" s="19"/>
      <c r="G505" s="20"/>
      <c r="H505" s="24"/>
      <c r="I505" s="25"/>
    </row>
    <row r="506" ht="15.75" customHeight="1">
      <c r="B506" s="13"/>
      <c r="D506" s="16"/>
      <c r="E506" s="16"/>
      <c r="F506" s="19"/>
      <c r="G506" s="20"/>
      <c r="H506" s="24"/>
      <c r="I506" s="25"/>
    </row>
    <row r="507" ht="15.75" customHeight="1">
      <c r="B507" s="13"/>
      <c r="D507" s="16"/>
      <c r="E507" s="16"/>
      <c r="F507" s="19"/>
      <c r="G507" s="20"/>
      <c r="H507" s="24"/>
      <c r="I507" s="25"/>
    </row>
    <row r="508" ht="15.75" customHeight="1">
      <c r="B508" s="13"/>
      <c r="D508" s="16"/>
      <c r="E508" s="16"/>
      <c r="F508" s="19"/>
      <c r="G508" s="20"/>
      <c r="H508" s="24"/>
      <c r="I508" s="25"/>
    </row>
    <row r="509" ht="15.75" customHeight="1">
      <c r="B509" s="13"/>
      <c r="D509" s="16"/>
      <c r="E509" s="16"/>
      <c r="F509" s="19"/>
      <c r="G509" s="20"/>
      <c r="H509" s="24"/>
      <c r="I509" s="25"/>
    </row>
    <row r="510" ht="15.75" customHeight="1">
      <c r="B510" s="13"/>
      <c r="D510" s="16"/>
      <c r="E510" s="16"/>
      <c r="F510" s="19"/>
      <c r="G510" s="20"/>
      <c r="H510" s="24"/>
      <c r="I510" s="25"/>
    </row>
    <row r="511" ht="15.75" customHeight="1">
      <c r="B511" s="13"/>
      <c r="D511" s="16"/>
      <c r="E511" s="16"/>
      <c r="F511" s="19"/>
      <c r="G511" s="20"/>
      <c r="H511" s="24"/>
      <c r="I511" s="25"/>
    </row>
    <row r="512" ht="15.75" customHeight="1">
      <c r="B512" s="13"/>
      <c r="D512" s="16"/>
      <c r="E512" s="16"/>
      <c r="F512" s="19"/>
      <c r="G512" s="20"/>
      <c r="H512" s="24"/>
      <c r="I512" s="25"/>
    </row>
    <row r="513" ht="15.75" customHeight="1">
      <c r="B513" s="13"/>
      <c r="D513" s="16"/>
      <c r="E513" s="16"/>
      <c r="F513" s="19"/>
      <c r="G513" s="20"/>
      <c r="H513" s="24"/>
      <c r="I513" s="25"/>
    </row>
    <row r="514" ht="15.75" customHeight="1">
      <c r="B514" s="13"/>
      <c r="D514" s="16"/>
      <c r="E514" s="16"/>
      <c r="F514" s="19"/>
      <c r="G514" s="20"/>
      <c r="H514" s="24"/>
      <c r="I514" s="25"/>
    </row>
    <row r="515" ht="15.75" customHeight="1">
      <c r="B515" s="13"/>
      <c r="D515" s="16"/>
      <c r="E515" s="16"/>
      <c r="F515" s="19"/>
      <c r="G515" s="20"/>
      <c r="H515" s="24"/>
      <c r="I515" s="25"/>
    </row>
    <row r="516" ht="15.75" customHeight="1">
      <c r="B516" s="13"/>
      <c r="D516" s="16"/>
      <c r="E516" s="16"/>
      <c r="F516" s="19"/>
      <c r="G516" s="20"/>
      <c r="H516" s="24"/>
      <c r="I516" s="25"/>
    </row>
    <row r="517" ht="15.75" customHeight="1">
      <c r="B517" s="13"/>
      <c r="D517" s="16"/>
      <c r="E517" s="16"/>
      <c r="F517" s="19"/>
      <c r="G517" s="20"/>
      <c r="H517" s="24"/>
      <c r="I517" s="25"/>
    </row>
    <row r="518" ht="15.75" customHeight="1">
      <c r="B518" s="13"/>
      <c r="D518" s="16"/>
      <c r="E518" s="16"/>
      <c r="F518" s="19"/>
      <c r="G518" s="20"/>
      <c r="H518" s="24"/>
      <c r="I518" s="25"/>
    </row>
    <row r="519" ht="15.75" customHeight="1">
      <c r="B519" s="13"/>
      <c r="D519" s="16"/>
      <c r="E519" s="16"/>
      <c r="F519" s="19"/>
      <c r="G519" s="20"/>
      <c r="H519" s="24"/>
      <c r="I519" s="25"/>
    </row>
    <row r="520" ht="15.75" customHeight="1">
      <c r="B520" s="13"/>
      <c r="D520" s="16"/>
      <c r="E520" s="16"/>
      <c r="F520" s="19"/>
      <c r="G520" s="20"/>
      <c r="H520" s="24"/>
      <c r="I520" s="25"/>
    </row>
    <row r="521" ht="15.75" customHeight="1">
      <c r="B521" s="13"/>
      <c r="D521" s="16"/>
      <c r="E521" s="16"/>
      <c r="F521" s="19"/>
      <c r="G521" s="20"/>
      <c r="H521" s="24"/>
      <c r="I521" s="25"/>
    </row>
    <row r="522" ht="15.75" customHeight="1">
      <c r="B522" s="13"/>
      <c r="D522" s="16"/>
      <c r="E522" s="16"/>
      <c r="F522" s="19"/>
      <c r="G522" s="20"/>
      <c r="H522" s="24"/>
      <c r="I522" s="25"/>
    </row>
    <row r="523" ht="15.75" customHeight="1">
      <c r="B523" s="13"/>
      <c r="D523" s="16"/>
      <c r="E523" s="16"/>
      <c r="F523" s="19"/>
      <c r="G523" s="20"/>
      <c r="H523" s="24"/>
      <c r="I523" s="25"/>
    </row>
    <row r="524" ht="15.75" customHeight="1">
      <c r="B524" s="13"/>
      <c r="D524" s="16"/>
      <c r="E524" s="16"/>
      <c r="F524" s="19"/>
      <c r="G524" s="20"/>
      <c r="H524" s="24"/>
      <c r="I524" s="25"/>
    </row>
    <row r="525" ht="15.75" customHeight="1">
      <c r="B525" s="13"/>
      <c r="D525" s="16"/>
      <c r="E525" s="16"/>
      <c r="F525" s="19"/>
      <c r="G525" s="20"/>
      <c r="H525" s="24"/>
      <c r="I525" s="25"/>
    </row>
    <row r="526" ht="15.75" customHeight="1">
      <c r="B526" s="13"/>
      <c r="D526" s="16"/>
      <c r="E526" s="16"/>
      <c r="F526" s="19"/>
      <c r="G526" s="20"/>
      <c r="H526" s="24"/>
      <c r="I526" s="25"/>
    </row>
    <row r="527" ht="15.75" customHeight="1">
      <c r="B527" s="13"/>
      <c r="D527" s="16"/>
      <c r="E527" s="16"/>
      <c r="F527" s="19"/>
      <c r="G527" s="20"/>
      <c r="H527" s="24"/>
      <c r="I527" s="25"/>
    </row>
    <row r="528" ht="15.75" customHeight="1">
      <c r="B528" s="13"/>
      <c r="D528" s="16"/>
      <c r="E528" s="16"/>
      <c r="F528" s="19"/>
      <c r="G528" s="20"/>
      <c r="H528" s="24"/>
      <c r="I528" s="25"/>
    </row>
    <row r="529" ht="15.75" customHeight="1">
      <c r="B529" s="13"/>
      <c r="D529" s="16"/>
      <c r="E529" s="16"/>
      <c r="F529" s="19"/>
      <c r="G529" s="20"/>
      <c r="H529" s="24"/>
      <c r="I529" s="25"/>
    </row>
    <row r="530" ht="15.75" customHeight="1">
      <c r="B530" s="13"/>
      <c r="D530" s="16"/>
      <c r="E530" s="16"/>
      <c r="F530" s="19"/>
      <c r="G530" s="20"/>
      <c r="H530" s="24"/>
      <c r="I530" s="25"/>
    </row>
    <row r="531" ht="15.75" customHeight="1">
      <c r="B531" s="13"/>
      <c r="D531" s="16"/>
      <c r="E531" s="16"/>
      <c r="F531" s="19"/>
      <c r="G531" s="20"/>
      <c r="H531" s="24"/>
      <c r="I531" s="25"/>
    </row>
    <row r="532" ht="15.75" customHeight="1">
      <c r="B532" s="13"/>
      <c r="D532" s="16"/>
      <c r="E532" s="16"/>
      <c r="F532" s="19"/>
      <c r="G532" s="20"/>
      <c r="H532" s="24"/>
      <c r="I532" s="25"/>
    </row>
    <row r="533" ht="15.75" customHeight="1">
      <c r="B533" s="13"/>
      <c r="D533" s="16"/>
      <c r="E533" s="16"/>
      <c r="F533" s="19"/>
      <c r="G533" s="20"/>
      <c r="H533" s="24"/>
      <c r="I533" s="25"/>
    </row>
    <row r="534" ht="15.75" customHeight="1">
      <c r="B534" s="13"/>
      <c r="D534" s="16"/>
      <c r="E534" s="16"/>
      <c r="F534" s="19"/>
      <c r="G534" s="20"/>
      <c r="H534" s="24"/>
      <c r="I534" s="25"/>
    </row>
    <row r="535" ht="15.75" customHeight="1">
      <c r="B535" s="13"/>
      <c r="D535" s="16"/>
      <c r="E535" s="16"/>
      <c r="F535" s="19"/>
      <c r="G535" s="20"/>
      <c r="H535" s="24"/>
      <c r="I535" s="25"/>
    </row>
    <row r="536" ht="15.75" customHeight="1">
      <c r="B536" s="13"/>
      <c r="D536" s="16"/>
      <c r="E536" s="16"/>
      <c r="F536" s="19"/>
      <c r="G536" s="20"/>
      <c r="H536" s="24"/>
      <c r="I536" s="25"/>
    </row>
    <row r="537" ht="15.75" customHeight="1">
      <c r="B537" s="13"/>
      <c r="D537" s="16"/>
      <c r="E537" s="16"/>
      <c r="F537" s="19"/>
      <c r="G537" s="20"/>
      <c r="H537" s="24"/>
      <c r="I537" s="25"/>
    </row>
    <row r="538" ht="15.75" customHeight="1">
      <c r="B538" s="13"/>
      <c r="D538" s="16"/>
      <c r="E538" s="16"/>
      <c r="F538" s="19"/>
      <c r="G538" s="20"/>
      <c r="H538" s="24"/>
      <c r="I538" s="25"/>
    </row>
    <row r="539" ht="15.75" customHeight="1">
      <c r="B539" s="13"/>
      <c r="D539" s="16"/>
      <c r="E539" s="16"/>
      <c r="F539" s="19"/>
      <c r="G539" s="20"/>
      <c r="H539" s="24"/>
      <c r="I539" s="25"/>
    </row>
    <row r="540" ht="15.75" customHeight="1">
      <c r="B540" s="13"/>
      <c r="D540" s="16"/>
      <c r="E540" s="16"/>
      <c r="F540" s="19"/>
      <c r="G540" s="20"/>
      <c r="H540" s="24"/>
      <c r="I540" s="25"/>
    </row>
    <row r="541" ht="15.75" customHeight="1">
      <c r="B541" s="13"/>
      <c r="D541" s="16"/>
      <c r="E541" s="16"/>
      <c r="F541" s="19"/>
      <c r="G541" s="20"/>
      <c r="H541" s="24"/>
      <c r="I541" s="25"/>
    </row>
    <row r="542" ht="15.75" customHeight="1">
      <c r="B542" s="13"/>
      <c r="D542" s="16"/>
      <c r="E542" s="16"/>
      <c r="F542" s="19"/>
      <c r="G542" s="20"/>
      <c r="H542" s="24"/>
      <c r="I542" s="25"/>
    </row>
    <row r="543" ht="15.75" customHeight="1">
      <c r="B543" s="13"/>
      <c r="D543" s="16"/>
      <c r="E543" s="16"/>
      <c r="F543" s="19"/>
      <c r="G543" s="20"/>
      <c r="H543" s="24"/>
      <c r="I543" s="25"/>
    </row>
    <row r="544" ht="15.75" customHeight="1">
      <c r="B544" s="13"/>
      <c r="D544" s="16"/>
      <c r="E544" s="16"/>
      <c r="F544" s="19"/>
      <c r="G544" s="20"/>
      <c r="H544" s="24"/>
      <c r="I544" s="25"/>
    </row>
    <row r="545" ht="15.75" customHeight="1">
      <c r="B545" s="13"/>
      <c r="D545" s="16"/>
      <c r="E545" s="16"/>
      <c r="F545" s="19"/>
      <c r="G545" s="20"/>
      <c r="H545" s="24"/>
      <c r="I545" s="25"/>
    </row>
    <row r="546" ht="15.75" customHeight="1">
      <c r="B546" s="13"/>
      <c r="D546" s="16"/>
      <c r="E546" s="16"/>
      <c r="F546" s="19"/>
      <c r="G546" s="20"/>
      <c r="H546" s="24"/>
      <c r="I546" s="25"/>
    </row>
    <row r="547" ht="15.75" customHeight="1">
      <c r="B547" s="13"/>
      <c r="D547" s="16"/>
      <c r="E547" s="16"/>
      <c r="F547" s="19"/>
      <c r="G547" s="20"/>
      <c r="H547" s="24"/>
      <c r="I547" s="25"/>
    </row>
    <row r="548" ht="15.75" customHeight="1">
      <c r="B548" s="13"/>
      <c r="D548" s="16"/>
      <c r="E548" s="16"/>
      <c r="F548" s="19"/>
      <c r="G548" s="20"/>
      <c r="H548" s="24"/>
      <c r="I548" s="25"/>
    </row>
    <row r="549" ht="15.75" customHeight="1">
      <c r="B549" s="13"/>
      <c r="D549" s="16"/>
      <c r="E549" s="16"/>
      <c r="F549" s="19"/>
      <c r="G549" s="20"/>
      <c r="H549" s="24"/>
      <c r="I549" s="25"/>
    </row>
    <row r="550" ht="15.75" customHeight="1">
      <c r="B550" s="13"/>
      <c r="D550" s="16"/>
      <c r="E550" s="16"/>
      <c r="F550" s="19"/>
      <c r="G550" s="20"/>
      <c r="H550" s="24"/>
      <c r="I550" s="25"/>
    </row>
    <row r="551" ht="15.75" customHeight="1">
      <c r="B551" s="13"/>
      <c r="D551" s="16"/>
      <c r="E551" s="16"/>
      <c r="F551" s="19"/>
      <c r="G551" s="20"/>
      <c r="H551" s="24"/>
      <c r="I551" s="25"/>
    </row>
    <row r="552" ht="15.75" customHeight="1">
      <c r="B552" s="13"/>
      <c r="D552" s="16"/>
      <c r="E552" s="16"/>
      <c r="F552" s="19"/>
      <c r="G552" s="20"/>
      <c r="H552" s="24"/>
      <c r="I552" s="25"/>
    </row>
    <row r="553" ht="15.75" customHeight="1">
      <c r="B553" s="13"/>
      <c r="D553" s="16"/>
      <c r="E553" s="16"/>
      <c r="F553" s="19"/>
      <c r="G553" s="20"/>
      <c r="H553" s="24"/>
      <c r="I553" s="25"/>
    </row>
    <row r="554" ht="15.75" customHeight="1">
      <c r="B554" s="13"/>
      <c r="D554" s="16"/>
      <c r="E554" s="16"/>
      <c r="F554" s="19"/>
      <c r="G554" s="20"/>
      <c r="H554" s="24"/>
      <c r="I554" s="25"/>
    </row>
    <row r="555" ht="15.75" customHeight="1">
      <c r="B555" s="13"/>
      <c r="D555" s="16"/>
      <c r="E555" s="16"/>
      <c r="F555" s="19"/>
      <c r="G555" s="20"/>
      <c r="H555" s="24"/>
      <c r="I555" s="25"/>
    </row>
    <row r="556" ht="15.75" customHeight="1">
      <c r="B556" s="13"/>
      <c r="D556" s="16"/>
      <c r="E556" s="16"/>
      <c r="F556" s="19"/>
      <c r="G556" s="20"/>
      <c r="H556" s="24"/>
      <c r="I556" s="25"/>
    </row>
    <row r="557" ht="15.75" customHeight="1">
      <c r="B557" s="13"/>
      <c r="D557" s="16"/>
      <c r="E557" s="16"/>
      <c r="F557" s="19"/>
      <c r="G557" s="20"/>
      <c r="H557" s="24"/>
      <c r="I557" s="25"/>
    </row>
    <row r="558" ht="15.75" customHeight="1">
      <c r="B558" s="13"/>
      <c r="D558" s="16"/>
      <c r="E558" s="16"/>
      <c r="F558" s="19"/>
      <c r="G558" s="20"/>
      <c r="H558" s="24"/>
      <c r="I558" s="25"/>
    </row>
    <row r="559" ht="15.75" customHeight="1">
      <c r="B559" s="13"/>
      <c r="D559" s="16"/>
      <c r="E559" s="16"/>
      <c r="F559" s="19"/>
      <c r="G559" s="20"/>
      <c r="H559" s="24"/>
      <c r="I559" s="25"/>
    </row>
    <row r="560" ht="15.75" customHeight="1">
      <c r="B560" s="13"/>
      <c r="D560" s="16"/>
      <c r="E560" s="16"/>
      <c r="F560" s="19"/>
      <c r="G560" s="20"/>
      <c r="H560" s="24"/>
      <c r="I560" s="25"/>
    </row>
    <row r="561" ht="15.75" customHeight="1">
      <c r="B561" s="13"/>
      <c r="D561" s="16"/>
      <c r="E561" s="16"/>
      <c r="F561" s="19"/>
      <c r="G561" s="20"/>
      <c r="H561" s="24"/>
      <c r="I561" s="25"/>
    </row>
    <row r="562" ht="15.75" customHeight="1">
      <c r="B562" s="13"/>
      <c r="D562" s="16"/>
      <c r="E562" s="16"/>
      <c r="F562" s="19"/>
      <c r="G562" s="20"/>
      <c r="H562" s="24"/>
      <c r="I562" s="25"/>
    </row>
    <row r="563" ht="15.75" customHeight="1">
      <c r="B563" s="13"/>
      <c r="D563" s="16"/>
      <c r="E563" s="16"/>
      <c r="F563" s="19"/>
      <c r="G563" s="20"/>
      <c r="H563" s="24"/>
      <c r="I563" s="25"/>
    </row>
    <row r="564" ht="15.75" customHeight="1">
      <c r="B564" s="13"/>
      <c r="D564" s="16"/>
      <c r="E564" s="16"/>
      <c r="F564" s="19"/>
      <c r="G564" s="20"/>
      <c r="H564" s="24"/>
      <c r="I564" s="25"/>
    </row>
    <row r="565" ht="15.75" customHeight="1">
      <c r="B565" s="13"/>
      <c r="D565" s="16"/>
      <c r="E565" s="16"/>
      <c r="F565" s="19"/>
      <c r="G565" s="20"/>
      <c r="H565" s="24"/>
      <c r="I565" s="25"/>
    </row>
    <row r="566" ht="15.75" customHeight="1">
      <c r="B566" s="13"/>
      <c r="D566" s="16"/>
      <c r="E566" s="16"/>
      <c r="F566" s="19"/>
      <c r="G566" s="20"/>
      <c r="H566" s="24"/>
      <c r="I566" s="25"/>
    </row>
    <row r="567" ht="15.75" customHeight="1">
      <c r="B567" s="13"/>
      <c r="D567" s="16"/>
      <c r="E567" s="16"/>
      <c r="F567" s="19"/>
      <c r="G567" s="20"/>
      <c r="H567" s="24"/>
      <c r="I567" s="25"/>
    </row>
    <row r="568" ht="15.75" customHeight="1">
      <c r="B568" s="13"/>
      <c r="D568" s="16"/>
      <c r="E568" s="16"/>
      <c r="F568" s="19"/>
      <c r="G568" s="20"/>
      <c r="H568" s="24"/>
      <c r="I568" s="25"/>
    </row>
    <row r="569" ht="15.75" customHeight="1">
      <c r="B569" s="13"/>
      <c r="D569" s="16"/>
      <c r="E569" s="16"/>
      <c r="F569" s="19"/>
      <c r="G569" s="20"/>
      <c r="H569" s="24"/>
      <c r="I569" s="25"/>
    </row>
    <row r="570" ht="15.75" customHeight="1">
      <c r="B570" s="13"/>
      <c r="D570" s="16"/>
      <c r="E570" s="16"/>
      <c r="F570" s="19"/>
      <c r="G570" s="20"/>
      <c r="H570" s="24"/>
      <c r="I570" s="25"/>
    </row>
    <row r="571" ht="15.75" customHeight="1">
      <c r="B571" s="13"/>
      <c r="D571" s="16"/>
      <c r="E571" s="16"/>
      <c r="F571" s="19"/>
      <c r="G571" s="20"/>
      <c r="H571" s="24"/>
      <c r="I571" s="25"/>
    </row>
    <row r="572" ht="15.75" customHeight="1">
      <c r="B572" s="13"/>
      <c r="D572" s="16"/>
      <c r="E572" s="16"/>
      <c r="F572" s="19"/>
      <c r="G572" s="20"/>
      <c r="H572" s="24"/>
      <c r="I572" s="25"/>
    </row>
    <row r="573" ht="15.75" customHeight="1">
      <c r="B573" s="13"/>
      <c r="D573" s="16"/>
      <c r="E573" s="16"/>
      <c r="F573" s="19"/>
      <c r="G573" s="20"/>
      <c r="H573" s="24"/>
      <c r="I573" s="25"/>
    </row>
    <row r="574" ht="15.75" customHeight="1">
      <c r="B574" s="13"/>
      <c r="D574" s="16"/>
      <c r="E574" s="16"/>
      <c r="F574" s="19"/>
      <c r="G574" s="20"/>
      <c r="H574" s="24"/>
      <c r="I574" s="25"/>
    </row>
    <row r="575" ht="15.75" customHeight="1">
      <c r="B575" s="13"/>
      <c r="D575" s="16"/>
      <c r="E575" s="16"/>
      <c r="F575" s="19"/>
      <c r="G575" s="20"/>
      <c r="H575" s="24"/>
      <c r="I575" s="25"/>
    </row>
    <row r="576" ht="15.75" customHeight="1">
      <c r="B576" s="13"/>
      <c r="D576" s="16"/>
      <c r="E576" s="16"/>
      <c r="F576" s="19"/>
      <c r="G576" s="20"/>
      <c r="H576" s="24"/>
      <c r="I576" s="25"/>
    </row>
    <row r="577" ht="15.75" customHeight="1">
      <c r="B577" s="13"/>
      <c r="D577" s="16"/>
      <c r="E577" s="16"/>
      <c r="F577" s="19"/>
      <c r="G577" s="20"/>
      <c r="H577" s="24"/>
      <c r="I577" s="25"/>
    </row>
    <row r="578" ht="15.75" customHeight="1">
      <c r="B578" s="13"/>
      <c r="D578" s="16"/>
      <c r="E578" s="16"/>
      <c r="F578" s="19"/>
      <c r="G578" s="20"/>
      <c r="H578" s="24"/>
      <c r="I578" s="25"/>
    </row>
    <row r="579" ht="15.75" customHeight="1">
      <c r="B579" s="13"/>
      <c r="D579" s="16"/>
      <c r="E579" s="16"/>
      <c r="F579" s="19"/>
      <c r="G579" s="20"/>
      <c r="H579" s="24"/>
      <c r="I579" s="25"/>
    </row>
    <row r="580" ht="15.75" customHeight="1">
      <c r="B580" s="13"/>
      <c r="D580" s="16"/>
      <c r="E580" s="16"/>
      <c r="F580" s="19"/>
      <c r="G580" s="20"/>
      <c r="H580" s="24"/>
      <c r="I580" s="25"/>
    </row>
    <row r="581" ht="15.75" customHeight="1">
      <c r="B581" s="13"/>
      <c r="D581" s="16"/>
      <c r="E581" s="16"/>
      <c r="F581" s="19"/>
      <c r="G581" s="20"/>
      <c r="H581" s="24"/>
      <c r="I581" s="25"/>
    </row>
    <row r="582" ht="15.75" customHeight="1">
      <c r="B582" s="13"/>
      <c r="D582" s="16"/>
      <c r="E582" s="16"/>
      <c r="F582" s="19"/>
      <c r="G582" s="20"/>
      <c r="H582" s="24"/>
      <c r="I582" s="25"/>
    </row>
    <row r="583" ht="15.75" customHeight="1">
      <c r="B583" s="13"/>
      <c r="D583" s="16"/>
      <c r="E583" s="16"/>
      <c r="F583" s="19"/>
      <c r="G583" s="20"/>
      <c r="H583" s="24"/>
      <c r="I583" s="25"/>
    </row>
    <row r="584" ht="15.75" customHeight="1">
      <c r="B584" s="13"/>
      <c r="D584" s="16"/>
      <c r="E584" s="16"/>
      <c r="F584" s="19"/>
      <c r="G584" s="20"/>
      <c r="H584" s="24"/>
      <c r="I584" s="25"/>
    </row>
    <row r="585" ht="15.75" customHeight="1">
      <c r="B585" s="13"/>
      <c r="D585" s="16"/>
      <c r="E585" s="16"/>
      <c r="F585" s="19"/>
      <c r="G585" s="20"/>
      <c r="H585" s="24"/>
      <c r="I585" s="25"/>
    </row>
    <row r="586" ht="15.75" customHeight="1">
      <c r="B586" s="13"/>
      <c r="D586" s="16"/>
      <c r="E586" s="16"/>
      <c r="F586" s="19"/>
      <c r="G586" s="20"/>
      <c r="H586" s="24"/>
      <c r="I586" s="25"/>
    </row>
    <row r="587" ht="15.75" customHeight="1">
      <c r="B587" s="13"/>
      <c r="D587" s="16"/>
      <c r="E587" s="16"/>
      <c r="F587" s="19"/>
      <c r="G587" s="20"/>
      <c r="H587" s="24"/>
      <c r="I587" s="25"/>
    </row>
    <row r="588" ht="15.75" customHeight="1">
      <c r="B588" s="13"/>
      <c r="D588" s="16"/>
      <c r="E588" s="16"/>
      <c r="F588" s="19"/>
      <c r="G588" s="20"/>
      <c r="H588" s="24"/>
      <c r="I588" s="25"/>
    </row>
    <row r="589" ht="15.75" customHeight="1">
      <c r="B589" s="13"/>
      <c r="D589" s="16"/>
      <c r="E589" s="16"/>
      <c r="F589" s="19"/>
      <c r="G589" s="20"/>
      <c r="H589" s="24"/>
      <c r="I589" s="25"/>
    </row>
    <row r="590" ht="15.75" customHeight="1">
      <c r="B590" s="13"/>
      <c r="D590" s="16"/>
      <c r="E590" s="16"/>
      <c r="F590" s="19"/>
      <c r="G590" s="20"/>
      <c r="H590" s="24"/>
      <c r="I590" s="25"/>
    </row>
    <row r="591" ht="15.75" customHeight="1">
      <c r="B591" s="13"/>
      <c r="D591" s="16"/>
      <c r="E591" s="16"/>
      <c r="F591" s="19"/>
      <c r="G591" s="20"/>
      <c r="H591" s="24"/>
      <c r="I591" s="25"/>
    </row>
    <row r="592" ht="15.75" customHeight="1">
      <c r="B592" s="13"/>
      <c r="D592" s="16"/>
      <c r="E592" s="16"/>
      <c r="F592" s="19"/>
      <c r="G592" s="20"/>
      <c r="H592" s="24"/>
      <c r="I592" s="25"/>
    </row>
    <row r="593" ht="15.75" customHeight="1">
      <c r="B593" s="13"/>
      <c r="D593" s="16"/>
      <c r="E593" s="16"/>
      <c r="F593" s="19"/>
      <c r="G593" s="20"/>
      <c r="H593" s="24"/>
      <c r="I593" s="25"/>
    </row>
    <row r="594" ht="15.75" customHeight="1">
      <c r="B594" s="13"/>
      <c r="D594" s="16"/>
      <c r="E594" s="16"/>
      <c r="F594" s="19"/>
      <c r="G594" s="20"/>
      <c r="H594" s="24"/>
      <c r="I594" s="25"/>
    </row>
    <row r="595" ht="15.75" customHeight="1">
      <c r="B595" s="13"/>
      <c r="D595" s="16"/>
      <c r="E595" s="16"/>
      <c r="F595" s="19"/>
      <c r="G595" s="20"/>
      <c r="H595" s="24"/>
      <c r="I595" s="25"/>
    </row>
    <row r="596" ht="15.75" customHeight="1">
      <c r="B596" s="13"/>
      <c r="D596" s="16"/>
      <c r="E596" s="16"/>
      <c r="F596" s="19"/>
      <c r="G596" s="20"/>
      <c r="H596" s="24"/>
      <c r="I596" s="25"/>
    </row>
    <row r="597" ht="15.75" customHeight="1">
      <c r="B597" s="13"/>
      <c r="D597" s="16"/>
      <c r="E597" s="16"/>
      <c r="F597" s="19"/>
      <c r="G597" s="20"/>
      <c r="H597" s="24"/>
      <c r="I597" s="25"/>
    </row>
    <row r="598" ht="15.75" customHeight="1">
      <c r="B598" s="13"/>
      <c r="D598" s="16"/>
      <c r="E598" s="16"/>
      <c r="F598" s="19"/>
      <c r="G598" s="20"/>
      <c r="H598" s="24"/>
      <c r="I598" s="25"/>
    </row>
    <row r="599" ht="15.75" customHeight="1">
      <c r="B599" s="13"/>
      <c r="D599" s="16"/>
      <c r="E599" s="16"/>
      <c r="F599" s="19"/>
      <c r="G599" s="20"/>
      <c r="H599" s="24"/>
      <c r="I599" s="25"/>
    </row>
    <row r="600" ht="15.75" customHeight="1">
      <c r="B600" s="13"/>
      <c r="D600" s="16"/>
      <c r="E600" s="16"/>
      <c r="F600" s="19"/>
      <c r="G600" s="20"/>
      <c r="H600" s="24"/>
      <c r="I600" s="25"/>
    </row>
    <row r="601" ht="15.75" customHeight="1">
      <c r="B601" s="13"/>
      <c r="D601" s="16"/>
      <c r="E601" s="16"/>
      <c r="F601" s="19"/>
      <c r="G601" s="20"/>
      <c r="H601" s="24"/>
      <c r="I601" s="25"/>
    </row>
    <row r="602" ht="15.75" customHeight="1">
      <c r="B602" s="13"/>
      <c r="D602" s="16"/>
      <c r="E602" s="16"/>
      <c r="F602" s="19"/>
      <c r="G602" s="20"/>
      <c r="H602" s="24"/>
      <c r="I602" s="25"/>
    </row>
    <row r="603" ht="15.75" customHeight="1">
      <c r="B603" s="13"/>
      <c r="D603" s="16"/>
      <c r="E603" s="16"/>
      <c r="F603" s="19"/>
      <c r="G603" s="20"/>
      <c r="H603" s="24"/>
      <c r="I603" s="25"/>
    </row>
    <row r="604" ht="15.75" customHeight="1">
      <c r="B604" s="13"/>
      <c r="D604" s="16"/>
      <c r="E604" s="16"/>
      <c r="F604" s="19"/>
      <c r="G604" s="20"/>
      <c r="H604" s="24"/>
      <c r="I604" s="25"/>
    </row>
    <row r="605" ht="15.75" customHeight="1">
      <c r="B605" s="13"/>
      <c r="D605" s="16"/>
      <c r="E605" s="16"/>
      <c r="F605" s="19"/>
      <c r="G605" s="20"/>
      <c r="H605" s="24"/>
      <c r="I605" s="25"/>
    </row>
    <row r="606" ht="15.75" customHeight="1">
      <c r="B606" s="13"/>
      <c r="D606" s="16"/>
      <c r="E606" s="16"/>
      <c r="F606" s="19"/>
      <c r="G606" s="20"/>
      <c r="H606" s="24"/>
      <c r="I606" s="25"/>
    </row>
    <row r="607" ht="15.75" customHeight="1">
      <c r="B607" s="13"/>
      <c r="D607" s="16"/>
      <c r="E607" s="16"/>
      <c r="F607" s="19"/>
      <c r="G607" s="20"/>
      <c r="H607" s="24"/>
      <c r="I607" s="25"/>
    </row>
    <row r="608" ht="15.75" customHeight="1">
      <c r="B608" s="13"/>
      <c r="D608" s="16"/>
      <c r="E608" s="16"/>
      <c r="F608" s="19"/>
      <c r="G608" s="20"/>
      <c r="H608" s="24"/>
      <c r="I608" s="25"/>
    </row>
    <row r="609" ht="15.75" customHeight="1">
      <c r="B609" s="13"/>
      <c r="D609" s="16"/>
      <c r="E609" s="16"/>
      <c r="F609" s="19"/>
      <c r="G609" s="20"/>
      <c r="H609" s="24"/>
      <c r="I609" s="25"/>
    </row>
    <row r="610" ht="15.75" customHeight="1">
      <c r="B610" s="13"/>
      <c r="D610" s="16"/>
      <c r="E610" s="16"/>
      <c r="F610" s="19"/>
      <c r="G610" s="20"/>
      <c r="H610" s="24"/>
      <c r="I610" s="25"/>
    </row>
    <row r="611" ht="15.75" customHeight="1">
      <c r="B611" s="13"/>
      <c r="D611" s="16"/>
      <c r="E611" s="16"/>
      <c r="F611" s="19"/>
      <c r="G611" s="20"/>
      <c r="H611" s="24"/>
      <c r="I611" s="25"/>
    </row>
    <row r="612" ht="15.75" customHeight="1">
      <c r="B612" s="13"/>
      <c r="D612" s="16"/>
      <c r="E612" s="16"/>
      <c r="F612" s="19"/>
      <c r="G612" s="20"/>
      <c r="H612" s="24"/>
      <c r="I612" s="25"/>
    </row>
    <row r="613" ht="15.75" customHeight="1">
      <c r="B613" s="13"/>
      <c r="D613" s="16"/>
      <c r="E613" s="16"/>
      <c r="F613" s="19"/>
      <c r="G613" s="20"/>
      <c r="H613" s="24"/>
      <c r="I613" s="25"/>
    </row>
    <row r="614" ht="15.75" customHeight="1">
      <c r="B614" s="13"/>
      <c r="D614" s="16"/>
      <c r="E614" s="16"/>
      <c r="F614" s="19"/>
      <c r="G614" s="20"/>
      <c r="H614" s="24"/>
      <c r="I614" s="25"/>
    </row>
    <row r="615" ht="15.75" customHeight="1">
      <c r="B615" s="13"/>
      <c r="D615" s="16"/>
      <c r="E615" s="16"/>
      <c r="F615" s="19"/>
      <c r="G615" s="20"/>
      <c r="H615" s="24"/>
      <c r="I615" s="25"/>
    </row>
    <row r="616" ht="15.75" customHeight="1">
      <c r="B616" s="13"/>
      <c r="D616" s="16"/>
      <c r="E616" s="16"/>
      <c r="F616" s="19"/>
      <c r="G616" s="20"/>
      <c r="H616" s="24"/>
      <c r="I616" s="25"/>
    </row>
    <row r="617" ht="15.75" customHeight="1">
      <c r="B617" s="13"/>
      <c r="D617" s="16"/>
      <c r="E617" s="16"/>
      <c r="F617" s="19"/>
      <c r="G617" s="20"/>
      <c r="H617" s="24"/>
      <c r="I617" s="25"/>
    </row>
    <row r="618" ht="15.75" customHeight="1">
      <c r="B618" s="13"/>
      <c r="D618" s="16"/>
      <c r="E618" s="16"/>
      <c r="F618" s="19"/>
      <c r="G618" s="20"/>
      <c r="H618" s="24"/>
      <c r="I618" s="25"/>
    </row>
    <row r="619" ht="15.75" customHeight="1">
      <c r="B619" s="13"/>
      <c r="D619" s="16"/>
      <c r="E619" s="16"/>
      <c r="F619" s="19"/>
      <c r="G619" s="20"/>
      <c r="H619" s="24"/>
      <c r="I619" s="25"/>
    </row>
    <row r="620" ht="15.75" customHeight="1">
      <c r="B620" s="13"/>
      <c r="D620" s="16"/>
      <c r="E620" s="16"/>
      <c r="F620" s="19"/>
      <c r="G620" s="20"/>
      <c r="H620" s="24"/>
      <c r="I620" s="25"/>
    </row>
    <row r="621" ht="15.75" customHeight="1">
      <c r="B621" s="13"/>
      <c r="D621" s="16"/>
      <c r="E621" s="16"/>
      <c r="F621" s="19"/>
      <c r="G621" s="20"/>
      <c r="H621" s="24"/>
      <c r="I621" s="25"/>
    </row>
    <row r="622" ht="15.75" customHeight="1">
      <c r="B622" s="13"/>
      <c r="D622" s="16"/>
      <c r="E622" s="16"/>
      <c r="F622" s="19"/>
      <c r="G622" s="20"/>
      <c r="H622" s="24"/>
      <c r="I622" s="25"/>
    </row>
    <row r="623" ht="15.75" customHeight="1">
      <c r="B623" s="13"/>
      <c r="D623" s="16"/>
      <c r="E623" s="16"/>
      <c r="F623" s="19"/>
      <c r="G623" s="20"/>
      <c r="H623" s="24"/>
      <c r="I623" s="25"/>
    </row>
    <row r="624" ht="15.75" customHeight="1">
      <c r="B624" s="13"/>
      <c r="D624" s="16"/>
      <c r="E624" s="16"/>
      <c r="F624" s="19"/>
      <c r="G624" s="20"/>
      <c r="H624" s="24"/>
      <c r="I624" s="25"/>
    </row>
    <row r="625" ht="15.75" customHeight="1">
      <c r="B625" s="13"/>
      <c r="D625" s="16"/>
      <c r="E625" s="16"/>
      <c r="F625" s="19"/>
      <c r="G625" s="20"/>
      <c r="H625" s="24"/>
      <c r="I625" s="25"/>
    </row>
    <row r="626" ht="15.75" customHeight="1">
      <c r="B626" s="13"/>
      <c r="D626" s="16"/>
      <c r="E626" s="16"/>
      <c r="F626" s="19"/>
      <c r="G626" s="20"/>
      <c r="H626" s="24"/>
      <c r="I626" s="25"/>
    </row>
    <row r="627" ht="15.75" customHeight="1">
      <c r="B627" s="13"/>
      <c r="D627" s="16"/>
      <c r="E627" s="16"/>
      <c r="F627" s="19"/>
      <c r="G627" s="20"/>
      <c r="H627" s="24"/>
      <c r="I627" s="25"/>
    </row>
    <row r="628" ht="15.75" customHeight="1">
      <c r="B628" s="13"/>
      <c r="D628" s="16"/>
      <c r="E628" s="16"/>
      <c r="F628" s="19"/>
      <c r="G628" s="20"/>
      <c r="H628" s="24"/>
      <c r="I628" s="25"/>
    </row>
    <row r="629" ht="15.75" customHeight="1">
      <c r="B629" s="13"/>
      <c r="D629" s="16"/>
      <c r="E629" s="16"/>
      <c r="F629" s="19"/>
      <c r="G629" s="20"/>
      <c r="H629" s="24"/>
      <c r="I629" s="25"/>
    </row>
    <row r="630" ht="15.75" customHeight="1">
      <c r="B630" s="13"/>
      <c r="D630" s="16"/>
      <c r="E630" s="16"/>
      <c r="F630" s="19"/>
      <c r="G630" s="20"/>
      <c r="H630" s="24"/>
      <c r="I630" s="25"/>
    </row>
    <row r="631" ht="15.75" customHeight="1">
      <c r="B631" s="13"/>
      <c r="D631" s="16"/>
      <c r="E631" s="16"/>
      <c r="F631" s="19"/>
      <c r="G631" s="20"/>
      <c r="H631" s="24"/>
      <c r="I631" s="25"/>
    </row>
    <row r="632" ht="15.75" customHeight="1">
      <c r="B632" s="13"/>
      <c r="D632" s="16"/>
      <c r="E632" s="16"/>
      <c r="F632" s="19"/>
      <c r="G632" s="20"/>
      <c r="H632" s="24"/>
      <c r="I632" s="25"/>
    </row>
    <row r="633" ht="15.75" customHeight="1">
      <c r="B633" s="13"/>
      <c r="D633" s="16"/>
      <c r="E633" s="16"/>
      <c r="F633" s="19"/>
      <c r="G633" s="20"/>
      <c r="H633" s="24"/>
      <c r="I633" s="25"/>
    </row>
    <row r="634" ht="15.75" customHeight="1">
      <c r="B634" s="13"/>
      <c r="D634" s="16"/>
      <c r="E634" s="16"/>
      <c r="F634" s="19"/>
      <c r="G634" s="20"/>
      <c r="H634" s="24"/>
      <c r="I634" s="25"/>
    </row>
    <row r="635" ht="15.75" customHeight="1">
      <c r="B635" s="13"/>
      <c r="D635" s="16"/>
      <c r="E635" s="16"/>
      <c r="F635" s="19"/>
      <c r="G635" s="20"/>
      <c r="H635" s="24"/>
      <c r="I635" s="25"/>
    </row>
    <row r="636" ht="15.75" customHeight="1">
      <c r="B636" s="13"/>
      <c r="D636" s="16"/>
      <c r="E636" s="16"/>
      <c r="F636" s="19"/>
      <c r="G636" s="20"/>
      <c r="H636" s="24"/>
      <c r="I636" s="25"/>
    </row>
    <row r="637" ht="15.75" customHeight="1">
      <c r="B637" s="13"/>
      <c r="D637" s="16"/>
      <c r="E637" s="16"/>
      <c r="F637" s="19"/>
      <c r="G637" s="20"/>
      <c r="H637" s="24"/>
      <c r="I637" s="25"/>
    </row>
    <row r="638" ht="15.75" customHeight="1">
      <c r="B638" s="13"/>
      <c r="D638" s="16"/>
      <c r="E638" s="16"/>
      <c r="F638" s="19"/>
      <c r="G638" s="20"/>
      <c r="H638" s="24"/>
      <c r="I638" s="25"/>
    </row>
    <row r="639" ht="15.75" customHeight="1">
      <c r="B639" s="13"/>
      <c r="D639" s="16"/>
      <c r="E639" s="16"/>
      <c r="F639" s="19"/>
      <c r="G639" s="20"/>
      <c r="H639" s="24"/>
      <c r="I639" s="25"/>
    </row>
    <row r="640" ht="15.75" customHeight="1">
      <c r="B640" s="13"/>
      <c r="D640" s="16"/>
      <c r="E640" s="16"/>
      <c r="F640" s="19"/>
      <c r="G640" s="20"/>
      <c r="H640" s="24"/>
      <c r="I640" s="25"/>
    </row>
    <row r="641" ht="15.75" customHeight="1">
      <c r="B641" s="13"/>
      <c r="D641" s="16"/>
      <c r="E641" s="16"/>
      <c r="F641" s="19"/>
      <c r="G641" s="20"/>
      <c r="H641" s="24"/>
      <c r="I641" s="25"/>
    </row>
    <row r="642" ht="15.75" customHeight="1">
      <c r="B642" s="13"/>
      <c r="D642" s="16"/>
      <c r="E642" s="16"/>
      <c r="F642" s="19"/>
      <c r="G642" s="20"/>
      <c r="H642" s="24"/>
      <c r="I642" s="25"/>
    </row>
    <row r="643" ht="15.75" customHeight="1">
      <c r="B643" s="13"/>
      <c r="D643" s="16"/>
      <c r="E643" s="16"/>
      <c r="F643" s="19"/>
      <c r="G643" s="20"/>
      <c r="H643" s="24"/>
      <c r="I643" s="25"/>
    </row>
    <row r="644" ht="15.75" customHeight="1">
      <c r="B644" s="13"/>
      <c r="D644" s="16"/>
      <c r="E644" s="16"/>
      <c r="F644" s="19"/>
      <c r="G644" s="20"/>
      <c r="H644" s="24"/>
      <c r="I644" s="25"/>
    </row>
    <row r="645" ht="15.75" customHeight="1">
      <c r="B645" s="13"/>
      <c r="D645" s="16"/>
      <c r="E645" s="16"/>
      <c r="F645" s="19"/>
      <c r="G645" s="20"/>
      <c r="H645" s="24"/>
      <c r="I645" s="25"/>
    </row>
    <row r="646" ht="15.75" customHeight="1">
      <c r="B646" s="13"/>
      <c r="D646" s="16"/>
      <c r="E646" s="16"/>
      <c r="F646" s="19"/>
      <c r="G646" s="20"/>
      <c r="H646" s="24"/>
      <c r="I646" s="25"/>
    </row>
    <row r="647" ht="15.75" customHeight="1">
      <c r="B647" s="13"/>
      <c r="D647" s="16"/>
      <c r="E647" s="16"/>
      <c r="F647" s="19"/>
      <c r="G647" s="20"/>
      <c r="H647" s="24"/>
      <c r="I647" s="25"/>
    </row>
    <row r="648" ht="15.75" customHeight="1">
      <c r="B648" s="13"/>
      <c r="D648" s="16"/>
      <c r="E648" s="16"/>
      <c r="F648" s="19"/>
      <c r="G648" s="20"/>
      <c r="H648" s="24"/>
      <c r="I648" s="25"/>
    </row>
    <row r="649" ht="15.75" customHeight="1">
      <c r="B649" s="13"/>
      <c r="D649" s="16"/>
      <c r="E649" s="16"/>
      <c r="F649" s="19"/>
      <c r="G649" s="20"/>
      <c r="H649" s="24"/>
      <c r="I649" s="25"/>
    </row>
    <row r="650" ht="15.75" customHeight="1">
      <c r="B650" s="13"/>
      <c r="D650" s="16"/>
      <c r="E650" s="16"/>
      <c r="F650" s="19"/>
      <c r="G650" s="20"/>
      <c r="H650" s="24"/>
      <c r="I650" s="25"/>
    </row>
    <row r="651" ht="15.75" customHeight="1">
      <c r="B651" s="13"/>
      <c r="D651" s="16"/>
      <c r="E651" s="16"/>
      <c r="F651" s="19"/>
      <c r="G651" s="20"/>
      <c r="H651" s="24"/>
      <c r="I651" s="25"/>
    </row>
    <row r="652" ht="15.75" customHeight="1">
      <c r="B652" s="13"/>
      <c r="D652" s="16"/>
      <c r="E652" s="16"/>
      <c r="F652" s="19"/>
      <c r="G652" s="20"/>
      <c r="H652" s="24"/>
      <c r="I652" s="25"/>
    </row>
    <row r="653" ht="15.75" customHeight="1">
      <c r="B653" s="13"/>
      <c r="D653" s="16"/>
      <c r="E653" s="16"/>
      <c r="F653" s="19"/>
      <c r="G653" s="20"/>
      <c r="H653" s="24"/>
      <c r="I653" s="25"/>
    </row>
    <row r="654" ht="15.75" customHeight="1">
      <c r="B654" s="13"/>
      <c r="D654" s="16"/>
      <c r="E654" s="16"/>
      <c r="F654" s="19"/>
      <c r="G654" s="20"/>
      <c r="H654" s="24"/>
      <c r="I654" s="25"/>
    </row>
    <row r="655" ht="15.75" customHeight="1">
      <c r="B655" s="13"/>
      <c r="D655" s="16"/>
      <c r="E655" s="16"/>
      <c r="F655" s="19"/>
      <c r="G655" s="20"/>
      <c r="H655" s="24"/>
      <c r="I655" s="25"/>
    </row>
    <row r="656" ht="15.75" customHeight="1">
      <c r="B656" s="13"/>
      <c r="D656" s="16"/>
      <c r="E656" s="16"/>
      <c r="F656" s="19"/>
      <c r="G656" s="20"/>
      <c r="H656" s="24"/>
      <c r="I656" s="25"/>
    </row>
    <row r="657" ht="15.75" customHeight="1">
      <c r="B657" s="13"/>
      <c r="D657" s="16"/>
      <c r="E657" s="16"/>
      <c r="F657" s="19"/>
      <c r="G657" s="20"/>
      <c r="H657" s="24"/>
      <c r="I657" s="25"/>
    </row>
    <row r="658" ht="15.75" customHeight="1">
      <c r="B658" s="13"/>
      <c r="D658" s="16"/>
      <c r="E658" s="16"/>
      <c r="F658" s="19"/>
      <c r="G658" s="20"/>
      <c r="H658" s="24"/>
      <c r="I658" s="25"/>
    </row>
    <row r="659" ht="15.75" customHeight="1">
      <c r="B659" s="13"/>
      <c r="D659" s="16"/>
      <c r="E659" s="16"/>
      <c r="F659" s="19"/>
      <c r="G659" s="20"/>
      <c r="H659" s="24"/>
      <c r="I659" s="25"/>
    </row>
    <row r="660" ht="15.75" customHeight="1">
      <c r="B660" s="13"/>
      <c r="D660" s="16"/>
      <c r="E660" s="16"/>
      <c r="F660" s="19"/>
      <c r="G660" s="20"/>
      <c r="H660" s="24"/>
      <c r="I660" s="25"/>
    </row>
    <row r="661" ht="15.75" customHeight="1">
      <c r="B661" s="13"/>
      <c r="D661" s="16"/>
      <c r="E661" s="16"/>
      <c r="F661" s="19"/>
      <c r="G661" s="20"/>
      <c r="H661" s="24"/>
      <c r="I661" s="25"/>
    </row>
    <row r="662" ht="15.75" customHeight="1">
      <c r="B662" s="13"/>
      <c r="D662" s="16"/>
      <c r="E662" s="16"/>
      <c r="F662" s="19"/>
      <c r="G662" s="20"/>
      <c r="H662" s="24"/>
      <c r="I662" s="25"/>
    </row>
    <row r="663" ht="15.75" customHeight="1">
      <c r="B663" s="13"/>
      <c r="D663" s="16"/>
      <c r="E663" s="16"/>
      <c r="F663" s="19"/>
      <c r="G663" s="20"/>
      <c r="H663" s="24"/>
      <c r="I663" s="25"/>
    </row>
    <row r="664" ht="15.75" customHeight="1">
      <c r="B664" s="13"/>
      <c r="D664" s="16"/>
      <c r="E664" s="16"/>
      <c r="F664" s="19"/>
      <c r="G664" s="20"/>
      <c r="H664" s="24"/>
      <c r="I664" s="25"/>
    </row>
    <row r="665" ht="15.75" customHeight="1">
      <c r="B665" s="13"/>
      <c r="D665" s="16"/>
      <c r="E665" s="16"/>
      <c r="F665" s="19"/>
      <c r="G665" s="20"/>
      <c r="H665" s="24"/>
      <c r="I665" s="25"/>
    </row>
    <row r="666" ht="15.75" customHeight="1">
      <c r="B666" s="13"/>
      <c r="D666" s="16"/>
      <c r="E666" s="16"/>
      <c r="F666" s="19"/>
      <c r="G666" s="20"/>
      <c r="H666" s="24"/>
      <c r="I666" s="25"/>
    </row>
    <row r="667" ht="15.75" customHeight="1">
      <c r="B667" s="13"/>
      <c r="D667" s="16"/>
      <c r="E667" s="16"/>
      <c r="F667" s="19"/>
      <c r="G667" s="20"/>
      <c r="H667" s="24"/>
      <c r="I667" s="25"/>
    </row>
    <row r="668" ht="15.75" customHeight="1">
      <c r="B668" s="13"/>
      <c r="D668" s="16"/>
      <c r="E668" s="16"/>
      <c r="F668" s="19"/>
      <c r="G668" s="20"/>
      <c r="H668" s="24"/>
      <c r="I668" s="25"/>
    </row>
    <row r="669" ht="15.75" customHeight="1">
      <c r="B669" s="13"/>
      <c r="D669" s="16"/>
      <c r="E669" s="16"/>
      <c r="F669" s="19"/>
      <c r="G669" s="20"/>
      <c r="H669" s="24"/>
      <c r="I669" s="25"/>
    </row>
    <row r="670" ht="15.75" customHeight="1">
      <c r="B670" s="13"/>
      <c r="D670" s="16"/>
      <c r="E670" s="16"/>
      <c r="F670" s="19"/>
      <c r="G670" s="20"/>
      <c r="H670" s="24"/>
      <c r="I670" s="25"/>
    </row>
    <row r="671" ht="15.75" customHeight="1">
      <c r="B671" s="13"/>
      <c r="D671" s="16"/>
      <c r="E671" s="16"/>
      <c r="F671" s="19"/>
      <c r="G671" s="20"/>
      <c r="H671" s="24"/>
      <c r="I671" s="25"/>
    </row>
    <row r="672" ht="15.75" customHeight="1">
      <c r="B672" s="13"/>
      <c r="D672" s="16"/>
      <c r="E672" s="16"/>
      <c r="F672" s="19"/>
      <c r="G672" s="20"/>
      <c r="H672" s="24"/>
      <c r="I672" s="25"/>
    </row>
    <row r="673" ht="15.75" customHeight="1">
      <c r="B673" s="13"/>
      <c r="D673" s="16"/>
      <c r="E673" s="16"/>
      <c r="F673" s="19"/>
      <c r="G673" s="20"/>
      <c r="H673" s="24"/>
      <c r="I673" s="25"/>
    </row>
    <row r="674" ht="15.75" customHeight="1">
      <c r="B674" s="13"/>
      <c r="D674" s="16"/>
      <c r="E674" s="16"/>
      <c r="F674" s="19"/>
      <c r="G674" s="20"/>
      <c r="H674" s="24"/>
      <c r="I674" s="25"/>
    </row>
    <row r="675" ht="15.75" customHeight="1">
      <c r="B675" s="13"/>
      <c r="D675" s="16"/>
      <c r="E675" s="16"/>
      <c r="F675" s="19"/>
      <c r="G675" s="20"/>
      <c r="H675" s="24"/>
      <c r="I675" s="25"/>
    </row>
    <row r="676" ht="15.75" customHeight="1">
      <c r="B676" s="13"/>
      <c r="D676" s="16"/>
      <c r="E676" s="16"/>
      <c r="F676" s="19"/>
      <c r="G676" s="20"/>
      <c r="H676" s="24"/>
      <c r="I676" s="25"/>
    </row>
    <row r="677" ht="15.75" customHeight="1">
      <c r="B677" s="13"/>
      <c r="D677" s="16"/>
      <c r="E677" s="16"/>
      <c r="F677" s="19"/>
      <c r="G677" s="20"/>
      <c r="H677" s="24"/>
      <c r="I677" s="25"/>
    </row>
    <row r="678" ht="15.75" customHeight="1">
      <c r="B678" s="13"/>
      <c r="D678" s="16"/>
      <c r="E678" s="16"/>
      <c r="F678" s="19"/>
      <c r="G678" s="20"/>
      <c r="H678" s="24"/>
      <c r="I678" s="25"/>
    </row>
    <row r="679" ht="15.75" customHeight="1">
      <c r="B679" s="13"/>
      <c r="D679" s="16"/>
      <c r="E679" s="16"/>
      <c r="F679" s="19"/>
      <c r="G679" s="20"/>
      <c r="H679" s="24"/>
      <c r="I679" s="25"/>
    </row>
    <row r="680" ht="15.75" customHeight="1">
      <c r="B680" s="13"/>
      <c r="D680" s="16"/>
      <c r="E680" s="16"/>
      <c r="F680" s="19"/>
      <c r="G680" s="20"/>
      <c r="H680" s="24"/>
      <c r="I680" s="25"/>
    </row>
    <row r="681" ht="15.75" customHeight="1">
      <c r="B681" s="13"/>
      <c r="D681" s="16"/>
      <c r="E681" s="16"/>
      <c r="F681" s="19"/>
      <c r="G681" s="20"/>
      <c r="H681" s="24"/>
      <c r="I681" s="25"/>
    </row>
    <row r="682" ht="15.75" customHeight="1">
      <c r="B682" s="13"/>
      <c r="D682" s="16"/>
      <c r="E682" s="16"/>
      <c r="F682" s="19"/>
      <c r="G682" s="20"/>
      <c r="H682" s="24"/>
      <c r="I682" s="25"/>
    </row>
    <row r="683" ht="15.75" customHeight="1">
      <c r="B683" s="13"/>
      <c r="D683" s="16"/>
      <c r="E683" s="16"/>
      <c r="F683" s="19"/>
      <c r="G683" s="20"/>
      <c r="H683" s="24"/>
      <c r="I683" s="25"/>
    </row>
    <row r="684" ht="15.75" customHeight="1">
      <c r="B684" s="13"/>
      <c r="D684" s="16"/>
      <c r="E684" s="16"/>
      <c r="F684" s="19"/>
      <c r="G684" s="20"/>
      <c r="H684" s="24"/>
      <c r="I684" s="25"/>
    </row>
    <row r="685" ht="15.75" customHeight="1">
      <c r="B685" s="13"/>
      <c r="D685" s="16"/>
      <c r="E685" s="16"/>
      <c r="F685" s="19"/>
      <c r="G685" s="20"/>
      <c r="H685" s="24"/>
      <c r="I685" s="25"/>
    </row>
    <row r="686" ht="15.75" customHeight="1">
      <c r="B686" s="13"/>
      <c r="D686" s="16"/>
      <c r="E686" s="16"/>
      <c r="F686" s="19"/>
      <c r="G686" s="20"/>
      <c r="H686" s="24"/>
      <c r="I686" s="25"/>
    </row>
    <row r="687" ht="15.75" customHeight="1">
      <c r="B687" s="13"/>
      <c r="D687" s="16"/>
      <c r="E687" s="16"/>
      <c r="F687" s="19"/>
      <c r="G687" s="20"/>
      <c r="H687" s="24"/>
      <c r="I687" s="25"/>
    </row>
    <row r="688" ht="15.75" customHeight="1">
      <c r="B688" s="13"/>
      <c r="D688" s="16"/>
      <c r="E688" s="16"/>
      <c r="F688" s="19"/>
      <c r="G688" s="20"/>
      <c r="H688" s="24"/>
      <c r="I688" s="25"/>
    </row>
    <row r="689" ht="15.75" customHeight="1">
      <c r="B689" s="13"/>
      <c r="D689" s="16"/>
      <c r="E689" s="16"/>
      <c r="F689" s="19"/>
      <c r="G689" s="20"/>
      <c r="H689" s="24"/>
      <c r="I689" s="25"/>
    </row>
    <row r="690" ht="15.75" customHeight="1">
      <c r="B690" s="13"/>
      <c r="D690" s="16"/>
      <c r="E690" s="16"/>
      <c r="F690" s="19"/>
      <c r="G690" s="20"/>
      <c r="H690" s="24"/>
      <c r="I690" s="25"/>
    </row>
    <row r="691" ht="15.75" customHeight="1">
      <c r="B691" s="13"/>
      <c r="D691" s="16"/>
      <c r="E691" s="16"/>
      <c r="F691" s="19"/>
      <c r="G691" s="20"/>
      <c r="H691" s="24"/>
      <c r="I691" s="25"/>
    </row>
    <row r="692" ht="15.75" customHeight="1">
      <c r="B692" s="13"/>
      <c r="D692" s="16"/>
      <c r="E692" s="16"/>
      <c r="F692" s="19"/>
      <c r="G692" s="20"/>
      <c r="H692" s="24"/>
      <c r="I692" s="25"/>
    </row>
    <row r="693" ht="15.75" customHeight="1">
      <c r="B693" s="13"/>
      <c r="D693" s="16"/>
      <c r="E693" s="16"/>
      <c r="F693" s="19"/>
      <c r="G693" s="20"/>
      <c r="H693" s="24"/>
      <c r="I693" s="25"/>
    </row>
    <row r="694" ht="15.75" customHeight="1">
      <c r="B694" s="13"/>
      <c r="D694" s="16"/>
      <c r="E694" s="16"/>
      <c r="F694" s="19"/>
      <c r="G694" s="20"/>
      <c r="H694" s="24"/>
      <c r="I694" s="25"/>
    </row>
    <row r="695" ht="15.75" customHeight="1">
      <c r="B695" s="13"/>
      <c r="D695" s="16"/>
      <c r="E695" s="16"/>
      <c r="F695" s="19"/>
      <c r="G695" s="20"/>
      <c r="H695" s="24"/>
      <c r="I695" s="25"/>
    </row>
    <row r="696" ht="15.75" customHeight="1">
      <c r="B696" s="13"/>
      <c r="D696" s="16"/>
      <c r="E696" s="16"/>
      <c r="F696" s="19"/>
      <c r="G696" s="20"/>
      <c r="H696" s="24"/>
      <c r="I696" s="25"/>
    </row>
    <row r="697" ht="15.75" customHeight="1">
      <c r="B697" s="13"/>
      <c r="D697" s="16"/>
      <c r="E697" s="16"/>
      <c r="F697" s="19"/>
      <c r="G697" s="20"/>
      <c r="H697" s="24"/>
      <c r="I697" s="25"/>
    </row>
    <row r="698" ht="15.75" customHeight="1">
      <c r="B698" s="13"/>
      <c r="D698" s="16"/>
      <c r="E698" s="16"/>
      <c r="F698" s="19"/>
      <c r="G698" s="20"/>
      <c r="H698" s="24"/>
      <c r="I698" s="25"/>
    </row>
    <row r="699" ht="15.75" customHeight="1">
      <c r="B699" s="13"/>
      <c r="D699" s="16"/>
      <c r="E699" s="16"/>
      <c r="F699" s="19"/>
      <c r="G699" s="20"/>
      <c r="H699" s="24"/>
      <c r="I699" s="25"/>
    </row>
    <row r="700" ht="15.75" customHeight="1">
      <c r="B700" s="13"/>
      <c r="D700" s="16"/>
      <c r="E700" s="16"/>
      <c r="F700" s="19"/>
      <c r="G700" s="20"/>
      <c r="H700" s="24"/>
      <c r="I700" s="25"/>
    </row>
    <row r="701" ht="15.75" customHeight="1">
      <c r="B701" s="13"/>
      <c r="D701" s="16"/>
      <c r="E701" s="16"/>
      <c r="F701" s="19"/>
      <c r="G701" s="20"/>
      <c r="H701" s="24"/>
      <c r="I701" s="25"/>
    </row>
    <row r="702" ht="15.75" customHeight="1">
      <c r="B702" s="13"/>
      <c r="D702" s="16"/>
      <c r="E702" s="16"/>
      <c r="F702" s="19"/>
      <c r="G702" s="20"/>
      <c r="H702" s="24"/>
      <c r="I702" s="25"/>
    </row>
    <row r="703" ht="15.75" customHeight="1">
      <c r="B703" s="13"/>
      <c r="D703" s="16"/>
      <c r="E703" s="16"/>
      <c r="F703" s="19"/>
      <c r="G703" s="20"/>
      <c r="H703" s="24"/>
      <c r="I703" s="25"/>
    </row>
    <row r="704" ht="15.75" customHeight="1">
      <c r="B704" s="13"/>
      <c r="D704" s="16"/>
      <c r="E704" s="16"/>
      <c r="F704" s="19"/>
      <c r="G704" s="20"/>
      <c r="H704" s="24"/>
      <c r="I704" s="25"/>
    </row>
    <row r="705" ht="15.75" customHeight="1">
      <c r="B705" s="13"/>
      <c r="D705" s="16"/>
      <c r="E705" s="16"/>
      <c r="F705" s="19"/>
      <c r="G705" s="20"/>
      <c r="H705" s="24"/>
      <c r="I705" s="25"/>
    </row>
    <row r="706" ht="15.75" customHeight="1">
      <c r="B706" s="13"/>
      <c r="D706" s="16"/>
      <c r="E706" s="16"/>
      <c r="F706" s="19"/>
      <c r="G706" s="20"/>
      <c r="H706" s="24"/>
      <c r="I706" s="25"/>
    </row>
    <row r="707" ht="15.75" customHeight="1">
      <c r="B707" s="13"/>
      <c r="D707" s="16"/>
      <c r="E707" s="16"/>
      <c r="F707" s="19"/>
      <c r="G707" s="20"/>
      <c r="H707" s="24"/>
      <c r="I707" s="25"/>
    </row>
    <row r="708" ht="15.75" customHeight="1">
      <c r="B708" s="13"/>
      <c r="D708" s="16"/>
      <c r="E708" s="16"/>
      <c r="F708" s="19"/>
      <c r="G708" s="20"/>
      <c r="H708" s="24"/>
      <c r="I708" s="25"/>
    </row>
    <row r="709" ht="15.75" customHeight="1">
      <c r="B709" s="13"/>
      <c r="D709" s="16"/>
      <c r="E709" s="16"/>
      <c r="F709" s="19"/>
      <c r="G709" s="20"/>
      <c r="H709" s="24"/>
      <c r="I709" s="25"/>
    </row>
    <row r="710" ht="15.75" customHeight="1">
      <c r="B710" s="13"/>
      <c r="D710" s="16"/>
      <c r="E710" s="16"/>
      <c r="F710" s="19"/>
      <c r="G710" s="20"/>
      <c r="H710" s="24"/>
      <c r="I710" s="25"/>
    </row>
    <row r="711" ht="15.75" customHeight="1">
      <c r="B711" s="13"/>
      <c r="D711" s="16"/>
      <c r="E711" s="16"/>
      <c r="F711" s="19"/>
      <c r="G711" s="20"/>
      <c r="H711" s="24"/>
      <c r="I711" s="25"/>
    </row>
    <row r="712" ht="15.75" customHeight="1">
      <c r="B712" s="13"/>
      <c r="D712" s="16"/>
      <c r="E712" s="16"/>
      <c r="F712" s="19"/>
      <c r="G712" s="20"/>
      <c r="H712" s="24"/>
      <c r="I712" s="25"/>
    </row>
    <row r="713" ht="15.75" customHeight="1">
      <c r="B713" s="13"/>
      <c r="D713" s="16"/>
      <c r="E713" s="16"/>
      <c r="F713" s="19"/>
      <c r="G713" s="20"/>
      <c r="H713" s="24"/>
      <c r="I713" s="25"/>
    </row>
    <row r="714" ht="15.75" customHeight="1">
      <c r="B714" s="13"/>
      <c r="D714" s="16"/>
      <c r="E714" s="16"/>
      <c r="F714" s="19"/>
      <c r="G714" s="20"/>
      <c r="H714" s="24"/>
      <c r="I714" s="25"/>
    </row>
    <row r="715" ht="15.75" customHeight="1">
      <c r="B715" s="13"/>
      <c r="D715" s="16"/>
      <c r="E715" s="16"/>
      <c r="F715" s="19"/>
      <c r="G715" s="20"/>
      <c r="H715" s="24"/>
      <c r="I715" s="25"/>
    </row>
    <row r="716" ht="15.75" customHeight="1">
      <c r="B716" s="13"/>
      <c r="D716" s="16"/>
      <c r="E716" s="16"/>
      <c r="F716" s="19"/>
      <c r="G716" s="20"/>
      <c r="H716" s="24"/>
      <c r="I716" s="25"/>
    </row>
    <row r="717" ht="15.75" customHeight="1">
      <c r="B717" s="13"/>
      <c r="D717" s="16"/>
      <c r="E717" s="16"/>
      <c r="F717" s="19"/>
      <c r="G717" s="20"/>
      <c r="H717" s="24"/>
      <c r="I717" s="25"/>
    </row>
    <row r="718" ht="15.75" customHeight="1">
      <c r="B718" s="13"/>
      <c r="D718" s="16"/>
      <c r="E718" s="16"/>
      <c r="F718" s="19"/>
      <c r="G718" s="20"/>
      <c r="H718" s="24"/>
      <c r="I718" s="25"/>
    </row>
    <row r="719" ht="15.75" customHeight="1">
      <c r="B719" s="13"/>
      <c r="D719" s="16"/>
      <c r="E719" s="16"/>
      <c r="F719" s="19"/>
      <c r="G719" s="20"/>
      <c r="H719" s="24"/>
      <c r="I719" s="25"/>
    </row>
    <row r="720" ht="15.75" customHeight="1">
      <c r="B720" s="13"/>
      <c r="D720" s="16"/>
      <c r="E720" s="16"/>
      <c r="F720" s="19"/>
      <c r="G720" s="20"/>
      <c r="H720" s="24"/>
      <c r="I720" s="25"/>
    </row>
    <row r="721" ht="15.75" customHeight="1">
      <c r="B721" s="13"/>
      <c r="D721" s="16"/>
      <c r="E721" s="16"/>
      <c r="F721" s="19"/>
      <c r="G721" s="20"/>
      <c r="H721" s="24"/>
      <c r="I721" s="25"/>
    </row>
    <row r="722" ht="15.75" customHeight="1">
      <c r="B722" s="13"/>
      <c r="D722" s="16"/>
      <c r="E722" s="16"/>
      <c r="F722" s="19"/>
      <c r="G722" s="20"/>
      <c r="H722" s="24"/>
      <c r="I722" s="25"/>
    </row>
    <row r="723" ht="15.75" customHeight="1">
      <c r="B723" s="13"/>
      <c r="D723" s="16"/>
      <c r="E723" s="16"/>
      <c r="F723" s="19"/>
      <c r="G723" s="20"/>
      <c r="H723" s="24"/>
      <c r="I723" s="25"/>
    </row>
    <row r="724" ht="15.75" customHeight="1">
      <c r="B724" s="13"/>
      <c r="D724" s="16"/>
      <c r="E724" s="16"/>
      <c r="F724" s="19"/>
      <c r="G724" s="20"/>
      <c r="H724" s="24"/>
      <c r="I724" s="25"/>
    </row>
    <row r="725" ht="15.75" customHeight="1">
      <c r="B725" s="13"/>
      <c r="D725" s="16"/>
      <c r="E725" s="16"/>
      <c r="F725" s="19"/>
      <c r="G725" s="20"/>
      <c r="H725" s="24"/>
      <c r="I725" s="25"/>
    </row>
    <row r="726" ht="15.75" customHeight="1">
      <c r="B726" s="13"/>
      <c r="D726" s="16"/>
      <c r="E726" s="16"/>
      <c r="F726" s="19"/>
      <c r="G726" s="20"/>
      <c r="H726" s="24"/>
      <c r="I726" s="25"/>
    </row>
    <row r="727" ht="15.75" customHeight="1">
      <c r="B727" s="13"/>
      <c r="D727" s="16"/>
      <c r="E727" s="16"/>
      <c r="F727" s="19"/>
      <c r="G727" s="20"/>
      <c r="H727" s="24"/>
      <c r="I727" s="25"/>
    </row>
    <row r="728" ht="15.75" customHeight="1">
      <c r="B728" s="13"/>
      <c r="D728" s="16"/>
      <c r="E728" s="16"/>
      <c r="F728" s="19"/>
      <c r="G728" s="20"/>
      <c r="H728" s="24"/>
      <c r="I728" s="25"/>
    </row>
    <row r="729" ht="15.75" customHeight="1">
      <c r="B729" s="13"/>
      <c r="D729" s="16"/>
      <c r="E729" s="16"/>
      <c r="F729" s="19"/>
      <c r="G729" s="20"/>
      <c r="H729" s="24"/>
      <c r="I729" s="25"/>
    </row>
    <row r="730" ht="15.75" customHeight="1">
      <c r="B730" s="13"/>
      <c r="D730" s="16"/>
      <c r="E730" s="16"/>
      <c r="F730" s="19"/>
      <c r="G730" s="20"/>
      <c r="H730" s="24"/>
      <c r="I730" s="25"/>
    </row>
    <row r="731" ht="15.75" customHeight="1">
      <c r="B731" s="13"/>
      <c r="D731" s="16"/>
      <c r="E731" s="16"/>
      <c r="F731" s="19"/>
      <c r="G731" s="20"/>
      <c r="H731" s="24"/>
      <c r="I731" s="25"/>
    </row>
    <row r="732" ht="15.75" customHeight="1">
      <c r="B732" s="13"/>
      <c r="D732" s="16"/>
      <c r="E732" s="16"/>
      <c r="F732" s="19"/>
      <c r="G732" s="20"/>
      <c r="H732" s="24"/>
      <c r="I732" s="25"/>
    </row>
    <row r="733" ht="15.75" customHeight="1">
      <c r="B733" s="13"/>
      <c r="D733" s="16"/>
      <c r="E733" s="16"/>
      <c r="F733" s="19"/>
      <c r="G733" s="20"/>
      <c r="H733" s="24"/>
      <c r="I733" s="25"/>
    </row>
    <row r="734" ht="15.75" customHeight="1">
      <c r="B734" s="13"/>
      <c r="D734" s="16"/>
      <c r="E734" s="16"/>
      <c r="F734" s="19"/>
      <c r="G734" s="20"/>
      <c r="H734" s="24"/>
      <c r="I734" s="25"/>
    </row>
    <row r="735" ht="15.75" customHeight="1">
      <c r="B735" s="13"/>
      <c r="D735" s="16"/>
      <c r="E735" s="16"/>
      <c r="F735" s="19"/>
      <c r="G735" s="20"/>
      <c r="H735" s="24"/>
      <c r="I735" s="25"/>
    </row>
    <row r="736" ht="15.75" customHeight="1">
      <c r="B736" s="13"/>
      <c r="D736" s="16"/>
      <c r="E736" s="16"/>
      <c r="F736" s="19"/>
      <c r="G736" s="20"/>
      <c r="H736" s="24"/>
      <c r="I736" s="25"/>
    </row>
    <row r="737" ht="15.75" customHeight="1">
      <c r="B737" s="13"/>
      <c r="D737" s="16"/>
      <c r="E737" s="16"/>
      <c r="F737" s="19"/>
      <c r="G737" s="20"/>
      <c r="H737" s="24"/>
      <c r="I737" s="25"/>
    </row>
    <row r="738" ht="15.75" customHeight="1">
      <c r="B738" s="13"/>
      <c r="D738" s="16"/>
      <c r="E738" s="16"/>
      <c r="F738" s="19"/>
      <c r="G738" s="20"/>
      <c r="H738" s="24"/>
      <c r="I738" s="25"/>
    </row>
    <row r="739" ht="15.75" customHeight="1">
      <c r="B739" s="13"/>
      <c r="D739" s="16"/>
      <c r="E739" s="16"/>
      <c r="F739" s="19"/>
      <c r="G739" s="20"/>
      <c r="H739" s="24"/>
      <c r="I739" s="25"/>
    </row>
    <row r="740" ht="15.75" customHeight="1">
      <c r="B740" s="13"/>
      <c r="D740" s="16"/>
      <c r="E740" s="16"/>
      <c r="F740" s="19"/>
      <c r="G740" s="20"/>
      <c r="H740" s="24"/>
      <c r="I740" s="25"/>
    </row>
    <row r="741" ht="15.75" customHeight="1">
      <c r="B741" s="13"/>
      <c r="D741" s="16"/>
      <c r="E741" s="16"/>
      <c r="F741" s="19"/>
      <c r="G741" s="20"/>
      <c r="H741" s="24"/>
      <c r="I741" s="25"/>
    </row>
    <row r="742" ht="15.75" customHeight="1">
      <c r="B742" s="13"/>
      <c r="D742" s="16"/>
      <c r="E742" s="16"/>
      <c r="F742" s="19"/>
      <c r="G742" s="20"/>
      <c r="H742" s="24"/>
      <c r="I742" s="25"/>
    </row>
    <row r="743" ht="15.75" customHeight="1">
      <c r="B743" s="13"/>
      <c r="D743" s="16"/>
      <c r="E743" s="16"/>
      <c r="F743" s="19"/>
      <c r="G743" s="20"/>
      <c r="H743" s="24"/>
      <c r="I743" s="25"/>
    </row>
    <row r="744" ht="15.75" customHeight="1">
      <c r="B744" s="13"/>
      <c r="D744" s="16"/>
      <c r="E744" s="16"/>
      <c r="F744" s="19"/>
      <c r="G744" s="20"/>
      <c r="H744" s="24"/>
      <c r="I744" s="25"/>
    </row>
    <row r="745" ht="15.75" customHeight="1">
      <c r="B745" s="13"/>
      <c r="D745" s="16"/>
      <c r="E745" s="16"/>
      <c r="F745" s="19"/>
      <c r="G745" s="20"/>
      <c r="H745" s="24"/>
      <c r="I745" s="25"/>
    </row>
    <row r="746" ht="15.75" customHeight="1">
      <c r="B746" s="13"/>
      <c r="D746" s="16"/>
      <c r="E746" s="16"/>
      <c r="F746" s="19"/>
      <c r="G746" s="20"/>
      <c r="H746" s="24"/>
      <c r="I746" s="25"/>
    </row>
    <row r="747" ht="15.75" customHeight="1">
      <c r="B747" s="13"/>
      <c r="D747" s="16"/>
      <c r="E747" s="16"/>
      <c r="F747" s="19"/>
      <c r="G747" s="20"/>
      <c r="H747" s="24"/>
      <c r="I747" s="25"/>
    </row>
    <row r="748" ht="15.75" customHeight="1">
      <c r="B748" s="13"/>
      <c r="D748" s="16"/>
      <c r="E748" s="16"/>
      <c r="F748" s="19"/>
      <c r="G748" s="20"/>
      <c r="H748" s="24"/>
      <c r="I748" s="25"/>
    </row>
    <row r="749" ht="15.75" customHeight="1">
      <c r="B749" s="13"/>
      <c r="D749" s="16"/>
      <c r="E749" s="16"/>
      <c r="F749" s="19"/>
      <c r="G749" s="20"/>
      <c r="H749" s="24"/>
      <c r="I749" s="25"/>
    </row>
    <row r="750" ht="15.75" customHeight="1">
      <c r="B750" s="13"/>
      <c r="D750" s="16"/>
      <c r="E750" s="16"/>
      <c r="F750" s="19"/>
      <c r="G750" s="20"/>
      <c r="H750" s="24"/>
      <c r="I750" s="25"/>
    </row>
    <row r="751" ht="15.75" customHeight="1">
      <c r="B751" s="13"/>
      <c r="D751" s="16"/>
      <c r="E751" s="16"/>
      <c r="F751" s="19"/>
      <c r="G751" s="20"/>
      <c r="H751" s="24"/>
      <c r="I751" s="25"/>
    </row>
    <row r="752" ht="15.75" customHeight="1">
      <c r="B752" s="13"/>
      <c r="D752" s="16"/>
      <c r="E752" s="16"/>
      <c r="F752" s="19"/>
      <c r="G752" s="20"/>
      <c r="H752" s="24"/>
      <c r="I752" s="25"/>
    </row>
    <row r="753" ht="15.75" customHeight="1">
      <c r="B753" s="13"/>
      <c r="D753" s="16"/>
      <c r="E753" s="16"/>
      <c r="F753" s="19"/>
      <c r="G753" s="20"/>
      <c r="H753" s="24"/>
      <c r="I753" s="25"/>
    </row>
    <row r="754" ht="15.75" customHeight="1">
      <c r="B754" s="13"/>
      <c r="D754" s="16"/>
      <c r="E754" s="16"/>
      <c r="F754" s="19"/>
      <c r="G754" s="20"/>
      <c r="H754" s="24"/>
      <c r="I754" s="25"/>
    </row>
    <row r="755" ht="15.75" customHeight="1">
      <c r="B755" s="13"/>
      <c r="D755" s="16"/>
      <c r="E755" s="16"/>
      <c r="F755" s="19"/>
      <c r="G755" s="20"/>
      <c r="H755" s="24"/>
      <c r="I755" s="25"/>
    </row>
    <row r="756" ht="15.75" customHeight="1">
      <c r="B756" s="13"/>
      <c r="D756" s="16"/>
      <c r="E756" s="16"/>
      <c r="F756" s="19"/>
      <c r="G756" s="20"/>
      <c r="H756" s="24"/>
      <c r="I756" s="25"/>
    </row>
    <row r="757" ht="15.75" customHeight="1">
      <c r="B757" s="13"/>
      <c r="D757" s="16"/>
      <c r="E757" s="16"/>
      <c r="F757" s="19"/>
      <c r="G757" s="20"/>
      <c r="H757" s="24"/>
      <c r="I757" s="25"/>
    </row>
    <row r="758" ht="15.75" customHeight="1">
      <c r="B758" s="13"/>
      <c r="D758" s="16"/>
      <c r="E758" s="16"/>
      <c r="F758" s="19"/>
      <c r="G758" s="20"/>
      <c r="H758" s="24"/>
      <c r="I758" s="25"/>
    </row>
    <row r="759" ht="15.75" customHeight="1">
      <c r="B759" s="13"/>
      <c r="D759" s="16"/>
      <c r="E759" s="16"/>
      <c r="F759" s="19"/>
      <c r="G759" s="20"/>
      <c r="H759" s="24"/>
      <c r="I759" s="25"/>
    </row>
    <row r="760" ht="15.75" customHeight="1">
      <c r="B760" s="13"/>
      <c r="D760" s="16"/>
      <c r="E760" s="16"/>
      <c r="F760" s="19"/>
      <c r="G760" s="20"/>
      <c r="H760" s="24"/>
      <c r="I760" s="25"/>
    </row>
    <row r="761" ht="15.75" customHeight="1">
      <c r="B761" s="13"/>
      <c r="D761" s="16"/>
      <c r="E761" s="16"/>
      <c r="F761" s="19"/>
      <c r="G761" s="20"/>
      <c r="H761" s="24"/>
      <c r="I761" s="25"/>
    </row>
    <row r="762" ht="15.75" customHeight="1">
      <c r="B762" s="13"/>
      <c r="D762" s="16"/>
      <c r="E762" s="16"/>
      <c r="F762" s="19"/>
      <c r="G762" s="20"/>
      <c r="H762" s="24"/>
      <c r="I762" s="25"/>
    </row>
    <row r="763" ht="15.75" customHeight="1">
      <c r="B763" s="13"/>
      <c r="D763" s="16"/>
      <c r="E763" s="16"/>
      <c r="F763" s="19"/>
      <c r="G763" s="20"/>
      <c r="H763" s="24"/>
      <c r="I763" s="25"/>
    </row>
    <row r="764" ht="15.75" customHeight="1">
      <c r="B764" s="13"/>
      <c r="D764" s="16"/>
      <c r="E764" s="16"/>
      <c r="F764" s="19"/>
      <c r="G764" s="20"/>
      <c r="H764" s="24"/>
      <c r="I764" s="25"/>
    </row>
    <row r="765" ht="15.75" customHeight="1">
      <c r="B765" s="13"/>
      <c r="D765" s="16"/>
      <c r="E765" s="16"/>
      <c r="F765" s="19"/>
      <c r="G765" s="20"/>
      <c r="H765" s="24"/>
      <c r="I765" s="25"/>
    </row>
    <row r="766" ht="15.75" customHeight="1">
      <c r="B766" s="13"/>
      <c r="D766" s="16"/>
      <c r="E766" s="16"/>
      <c r="F766" s="19"/>
      <c r="G766" s="20"/>
      <c r="H766" s="24"/>
      <c r="I766" s="25"/>
    </row>
    <row r="767" ht="15.75" customHeight="1">
      <c r="B767" s="13"/>
      <c r="D767" s="16"/>
      <c r="E767" s="16"/>
      <c r="F767" s="19"/>
      <c r="G767" s="20"/>
      <c r="H767" s="24"/>
      <c r="I767" s="25"/>
    </row>
    <row r="768" ht="15.75" customHeight="1">
      <c r="B768" s="13"/>
      <c r="D768" s="16"/>
      <c r="E768" s="16"/>
      <c r="F768" s="19"/>
      <c r="G768" s="20"/>
      <c r="H768" s="24"/>
      <c r="I768" s="25"/>
    </row>
    <row r="769" ht="15.75" customHeight="1">
      <c r="B769" s="13"/>
      <c r="D769" s="16"/>
      <c r="E769" s="16"/>
      <c r="F769" s="19"/>
      <c r="G769" s="20"/>
      <c r="H769" s="24"/>
      <c r="I769" s="25"/>
    </row>
    <row r="770" ht="15.75" customHeight="1">
      <c r="B770" s="13"/>
      <c r="D770" s="16"/>
      <c r="E770" s="16"/>
      <c r="F770" s="19"/>
      <c r="G770" s="20"/>
      <c r="H770" s="24"/>
      <c r="I770" s="25"/>
    </row>
    <row r="771" ht="15.75" customHeight="1">
      <c r="B771" s="13"/>
      <c r="D771" s="16"/>
      <c r="E771" s="16"/>
      <c r="F771" s="19"/>
      <c r="G771" s="20"/>
      <c r="H771" s="24"/>
      <c r="I771" s="25"/>
    </row>
    <row r="772" ht="15.75" customHeight="1">
      <c r="B772" s="13"/>
      <c r="D772" s="16"/>
      <c r="E772" s="16"/>
      <c r="F772" s="19"/>
      <c r="G772" s="20"/>
      <c r="H772" s="24"/>
      <c r="I772" s="25"/>
    </row>
    <row r="773" ht="15.75" customHeight="1">
      <c r="B773" s="13"/>
      <c r="D773" s="16"/>
      <c r="E773" s="16"/>
      <c r="F773" s="19"/>
      <c r="G773" s="20"/>
      <c r="H773" s="24"/>
      <c r="I773" s="25"/>
    </row>
    <row r="774" ht="15.75" customHeight="1">
      <c r="B774" s="13"/>
      <c r="D774" s="16"/>
      <c r="E774" s="16"/>
      <c r="F774" s="19"/>
      <c r="G774" s="20"/>
      <c r="H774" s="24"/>
      <c r="I774" s="25"/>
    </row>
    <row r="775" ht="15.75" customHeight="1">
      <c r="B775" s="13"/>
      <c r="D775" s="16"/>
      <c r="E775" s="16"/>
      <c r="F775" s="19"/>
      <c r="G775" s="20"/>
      <c r="H775" s="24"/>
      <c r="I775" s="25"/>
    </row>
    <row r="776" ht="15.75" customHeight="1">
      <c r="B776" s="13"/>
      <c r="D776" s="16"/>
      <c r="E776" s="16"/>
      <c r="F776" s="19"/>
      <c r="G776" s="20"/>
      <c r="H776" s="24"/>
      <c r="I776" s="25"/>
    </row>
    <row r="777" ht="15.75" customHeight="1">
      <c r="B777" s="13"/>
      <c r="D777" s="16"/>
      <c r="E777" s="16"/>
      <c r="F777" s="19"/>
      <c r="G777" s="20"/>
      <c r="H777" s="24"/>
      <c r="I777" s="25"/>
    </row>
    <row r="778" ht="15.75" customHeight="1">
      <c r="B778" s="13"/>
      <c r="D778" s="16"/>
      <c r="E778" s="16"/>
      <c r="F778" s="19"/>
      <c r="G778" s="20"/>
      <c r="H778" s="24"/>
      <c r="I778" s="25"/>
    </row>
    <row r="779" ht="15.75" customHeight="1">
      <c r="B779" s="13"/>
      <c r="D779" s="16"/>
      <c r="E779" s="16"/>
      <c r="F779" s="19"/>
      <c r="G779" s="20"/>
      <c r="H779" s="24"/>
      <c r="I779" s="25"/>
    </row>
    <row r="780" ht="15.75" customHeight="1">
      <c r="B780" s="13"/>
      <c r="D780" s="16"/>
      <c r="E780" s="16"/>
      <c r="F780" s="19"/>
      <c r="G780" s="20"/>
      <c r="H780" s="24"/>
      <c r="I780" s="25"/>
    </row>
    <row r="781" ht="15.75" customHeight="1">
      <c r="B781" s="13"/>
      <c r="D781" s="16"/>
      <c r="E781" s="16"/>
      <c r="F781" s="19"/>
      <c r="G781" s="20"/>
      <c r="H781" s="24"/>
      <c r="I781" s="25"/>
    </row>
    <row r="782" ht="15.75" customHeight="1">
      <c r="B782" s="13"/>
      <c r="D782" s="16"/>
      <c r="E782" s="16"/>
      <c r="F782" s="19"/>
      <c r="G782" s="20"/>
      <c r="H782" s="24"/>
      <c r="I782" s="25"/>
    </row>
    <row r="783" ht="15.75" customHeight="1">
      <c r="B783" s="13"/>
      <c r="D783" s="16"/>
      <c r="E783" s="16"/>
      <c r="F783" s="19"/>
      <c r="G783" s="20"/>
      <c r="H783" s="24"/>
      <c r="I783" s="25"/>
    </row>
    <row r="784" ht="15.75" customHeight="1">
      <c r="B784" s="13"/>
      <c r="D784" s="16"/>
      <c r="E784" s="16"/>
      <c r="F784" s="19"/>
      <c r="G784" s="20"/>
      <c r="H784" s="24"/>
      <c r="I784" s="25"/>
    </row>
    <row r="785" ht="15.75" customHeight="1">
      <c r="B785" s="13"/>
      <c r="D785" s="16"/>
      <c r="E785" s="16"/>
      <c r="F785" s="19"/>
      <c r="G785" s="20"/>
      <c r="H785" s="24"/>
      <c r="I785" s="25"/>
    </row>
    <row r="786" ht="15.75" customHeight="1">
      <c r="B786" s="13"/>
      <c r="D786" s="16"/>
      <c r="E786" s="16"/>
      <c r="F786" s="19"/>
      <c r="G786" s="20"/>
      <c r="H786" s="24"/>
      <c r="I786" s="25"/>
    </row>
    <row r="787" ht="15.75" customHeight="1">
      <c r="B787" s="13"/>
      <c r="D787" s="16"/>
      <c r="E787" s="16"/>
      <c r="F787" s="19"/>
      <c r="G787" s="20"/>
      <c r="H787" s="24"/>
      <c r="I787" s="25"/>
    </row>
    <row r="788" ht="15.75" customHeight="1">
      <c r="B788" s="13"/>
      <c r="D788" s="16"/>
      <c r="E788" s="16"/>
      <c r="F788" s="19"/>
      <c r="G788" s="20"/>
      <c r="H788" s="24"/>
      <c r="I788" s="25"/>
    </row>
    <row r="789" ht="15.75" customHeight="1">
      <c r="B789" s="13"/>
      <c r="D789" s="16"/>
      <c r="E789" s="16"/>
      <c r="F789" s="19"/>
      <c r="G789" s="20"/>
      <c r="H789" s="24"/>
      <c r="I789" s="25"/>
    </row>
    <row r="790" ht="15.75" customHeight="1">
      <c r="B790" s="13"/>
      <c r="D790" s="16"/>
      <c r="E790" s="16"/>
      <c r="F790" s="19"/>
      <c r="G790" s="20"/>
      <c r="H790" s="24"/>
      <c r="I790" s="25"/>
    </row>
    <row r="791" ht="15.75" customHeight="1">
      <c r="B791" s="13"/>
      <c r="D791" s="16"/>
      <c r="E791" s="16"/>
      <c r="F791" s="19"/>
      <c r="G791" s="20"/>
      <c r="H791" s="24"/>
      <c r="I791" s="25"/>
    </row>
    <row r="792" ht="15.75" customHeight="1">
      <c r="B792" s="13"/>
      <c r="D792" s="16"/>
      <c r="E792" s="16"/>
      <c r="F792" s="19"/>
      <c r="G792" s="20"/>
      <c r="H792" s="24"/>
      <c r="I792" s="25"/>
    </row>
    <row r="793" ht="15.75" customHeight="1">
      <c r="B793" s="13"/>
      <c r="D793" s="16"/>
      <c r="E793" s="16"/>
      <c r="F793" s="19"/>
      <c r="G793" s="20"/>
      <c r="H793" s="24"/>
      <c r="I793" s="25"/>
    </row>
    <row r="794" ht="15.75" customHeight="1">
      <c r="B794" s="13"/>
      <c r="D794" s="16"/>
      <c r="E794" s="16"/>
      <c r="F794" s="19"/>
      <c r="G794" s="20"/>
      <c r="H794" s="24"/>
      <c r="I794" s="25"/>
    </row>
    <row r="795" ht="15.75" customHeight="1">
      <c r="B795" s="13"/>
      <c r="D795" s="16"/>
      <c r="E795" s="16"/>
      <c r="F795" s="19"/>
      <c r="G795" s="20"/>
      <c r="H795" s="24"/>
      <c r="I795" s="25"/>
    </row>
    <row r="796" ht="15.75" customHeight="1">
      <c r="B796" s="13"/>
      <c r="D796" s="16"/>
      <c r="E796" s="16"/>
      <c r="F796" s="19"/>
      <c r="G796" s="20"/>
      <c r="H796" s="24"/>
      <c r="I796" s="25"/>
    </row>
    <row r="797" ht="15.75" customHeight="1">
      <c r="B797" s="13"/>
      <c r="D797" s="16"/>
      <c r="E797" s="16"/>
      <c r="F797" s="19"/>
      <c r="G797" s="20"/>
      <c r="H797" s="24"/>
      <c r="I797" s="25"/>
    </row>
    <row r="798" ht="15.75" customHeight="1">
      <c r="B798" s="13"/>
      <c r="D798" s="16"/>
      <c r="E798" s="16"/>
      <c r="F798" s="19"/>
      <c r="G798" s="20"/>
      <c r="H798" s="24"/>
      <c r="I798" s="25"/>
    </row>
    <row r="799" ht="15.75" customHeight="1">
      <c r="B799" s="13"/>
      <c r="D799" s="16"/>
      <c r="E799" s="16"/>
      <c r="F799" s="19"/>
      <c r="G799" s="20"/>
      <c r="H799" s="24"/>
      <c r="I799" s="25"/>
    </row>
    <row r="800" ht="15.75" customHeight="1">
      <c r="B800" s="13"/>
      <c r="D800" s="16"/>
      <c r="E800" s="16"/>
      <c r="F800" s="19"/>
      <c r="G800" s="20"/>
      <c r="H800" s="24"/>
      <c r="I800" s="25"/>
    </row>
    <row r="801" ht="15.75" customHeight="1">
      <c r="B801" s="13"/>
      <c r="D801" s="16"/>
      <c r="E801" s="16"/>
      <c r="F801" s="19"/>
      <c r="G801" s="20"/>
      <c r="H801" s="24"/>
      <c r="I801" s="25"/>
    </row>
    <row r="802" ht="15.75" customHeight="1">
      <c r="B802" s="13"/>
      <c r="D802" s="16"/>
      <c r="E802" s="16"/>
      <c r="F802" s="19"/>
      <c r="G802" s="20"/>
      <c r="H802" s="24"/>
      <c r="I802" s="25"/>
    </row>
    <row r="803" ht="15.75" customHeight="1">
      <c r="B803" s="13"/>
      <c r="D803" s="16"/>
      <c r="E803" s="16"/>
      <c r="F803" s="19"/>
      <c r="G803" s="20"/>
      <c r="H803" s="24"/>
      <c r="I803" s="25"/>
    </row>
    <row r="804" ht="15.75" customHeight="1">
      <c r="B804" s="13"/>
      <c r="D804" s="16"/>
      <c r="E804" s="16"/>
      <c r="F804" s="19"/>
      <c r="G804" s="20"/>
      <c r="H804" s="24"/>
      <c r="I804" s="25"/>
    </row>
    <row r="805" ht="15.75" customHeight="1">
      <c r="B805" s="13"/>
      <c r="D805" s="16"/>
      <c r="E805" s="16"/>
      <c r="F805" s="19"/>
      <c r="G805" s="20"/>
      <c r="H805" s="24"/>
      <c r="I805" s="25"/>
    </row>
    <row r="806" ht="15.75" customHeight="1">
      <c r="B806" s="13"/>
      <c r="D806" s="16"/>
      <c r="E806" s="16"/>
      <c r="F806" s="19"/>
      <c r="G806" s="20"/>
      <c r="H806" s="24"/>
      <c r="I806" s="25"/>
    </row>
    <row r="807" ht="15.75" customHeight="1">
      <c r="B807" s="13"/>
      <c r="D807" s="16"/>
      <c r="E807" s="16"/>
      <c r="F807" s="19"/>
      <c r="G807" s="20"/>
      <c r="H807" s="24"/>
      <c r="I807" s="25"/>
    </row>
    <row r="808" ht="15.75" customHeight="1">
      <c r="B808" s="13"/>
      <c r="D808" s="16"/>
      <c r="E808" s="16"/>
      <c r="F808" s="19"/>
      <c r="G808" s="20"/>
      <c r="H808" s="24"/>
      <c r="I808" s="25"/>
    </row>
    <row r="809" ht="15.75" customHeight="1">
      <c r="B809" s="13"/>
      <c r="D809" s="16"/>
      <c r="E809" s="16"/>
      <c r="F809" s="19"/>
      <c r="G809" s="20"/>
      <c r="H809" s="24"/>
      <c r="I809" s="25"/>
    </row>
    <row r="810" ht="15.75" customHeight="1">
      <c r="B810" s="13"/>
      <c r="D810" s="16"/>
      <c r="E810" s="16"/>
      <c r="F810" s="19"/>
      <c r="G810" s="20"/>
      <c r="H810" s="24"/>
      <c r="I810" s="25"/>
    </row>
    <row r="811" ht="15.75" customHeight="1">
      <c r="B811" s="13"/>
      <c r="D811" s="16"/>
      <c r="E811" s="16"/>
      <c r="F811" s="19"/>
      <c r="G811" s="20"/>
      <c r="H811" s="24"/>
      <c r="I811" s="25"/>
    </row>
    <row r="812" ht="15.75" customHeight="1">
      <c r="B812" s="13"/>
      <c r="D812" s="16"/>
      <c r="E812" s="16"/>
      <c r="F812" s="19"/>
      <c r="G812" s="20"/>
      <c r="H812" s="24"/>
      <c r="I812" s="25"/>
    </row>
    <row r="813" ht="15.75" customHeight="1">
      <c r="B813" s="13"/>
      <c r="D813" s="16"/>
      <c r="E813" s="16"/>
      <c r="F813" s="19"/>
      <c r="G813" s="20"/>
      <c r="H813" s="24"/>
      <c r="I813" s="25"/>
    </row>
    <row r="814" ht="15.75" customHeight="1">
      <c r="B814" s="13"/>
      <c r="D814" s="16"/>
      <c r="E814" s="16"/>
      <c r="F814" s="19"/>
      <c r="G814" s="20"/>
      <c r="H814" s="24"/>
      <c r="I814" s="25"/>
    </row>
    <row r="815" ht="15.75" customHeight="1">
      <c r="B815" s="13"/>
      <c r="D815" s="16"/>
      <c r="E815" s="16"/>
      <c r="F815" s="19"/>
      <c r="G815" s="20"/>
      <c r="H815" s="24"/>
      <c r="I815" s="25"/>
    </row>
    <row r="816" ht="15.75" customHeight="1">
      <c r="B816" s="13"/>
      <c r="D816" s="16"/>
      <c r="E816" s="16"/>
      <c r="F816" s="19"/>
      <c r="G816" s="20"/>
      <c r="H816" s="24"/>
      <c r="I816" s="25"/>
    </row>
    <row r="817" ht="15.75" customHeight="1">
      <c r="B817" s="13"/>
      <c r="D817" s="16"/>
      <c r="E817" s="16"/>
      <c r="F817" s="19"/>
      <c r="G817" s="20"/>
      <c r="H817" s="24"/>
      <c r="I817" s="25"/>
    </row>
    <row r="818" ht="15.75" customHeight="1">
      <c r="B818" s="13"/>
      <c r="D818" s="16"/>
      <c r="E818" s="16"/>
      <c r="F818" s="19"/>
      <c r="G818" s="20"/>
      <c r="H818" s="24"/>
      <c r="I818" s="25"/>
    </row>
    <row r="819" ht="15.75" customHeight="1">
      <c r="B819" s="13"/>
      <c r="D819" s="16"/>
      <c r="E819" s="16"/>
      <c r="F819" s="19"/>
      <c r="G819" s="20"/>
      <c r="H819" s="24"/>
      <c r="I819" s="25"/>
    </row>
    <row r="820" ht="15.75" customHeight="1">
      <c r="B820" s="13"/>
      <c r="D820" s="16"/>
      <c r="E820" s="16"/>
      <c r="F820" s="19"/>
      <c r="G820" s="20"/>
      <c r="H820" s="24"/>
      <c r="I820" s="25"/>
    </row>
    <row r="821" ht="15.75" customHeight="1">
      <c r="B821" s="13"/>
      <c r="D821" s="16"/>
      <c r="E821" s="16"/>
      <c r="F821" s="19"/>
      <c r="G821" s="20"/>
      <c r="H821" s="24"/>
      <c r="I821" s="25"/>
    </row>
    <row r="822" ht="15.75" customHeight="1">
      <c r="B822" s="13"/>
      <c r="D822" s="16"/>
      <c r="E822" s="16"/>
      <c r="F822" s="19"/>
      <c r="G822" s="20"/>
      <c r="H822" s="24"/>
      <c r="I822" s="25"/>
    </row>
    <row r="823" ht="15.75" customHeight="1">
      <c r="B823" s="13"/>
      <c r="D823" s="16"/>
      <c r="E823" s="16"/>
      <c r="F823" s="19"/>
      <c r="G823" s="20"/>
      <c r="H823" s="24"/>
      <c r="I823" s="25"/>
    </row>
    <row r="824" ht="15.75" customHeight="1">
      <c r="B824" s="13"/>
      <c r="D824" s="16"/>
      <c r="E824" s="16"/>
      <c r="F824" s="19"/>
      <c r="G824" s="20"/>
      <c r="H824" s="24"/>
      <c r="I824" s="25"/>
    </row>
    <row r="825" ht="15.75" customHeight="1">
      <c r="B825" s="13"/>
      <c r="D825" s="16"/>
      <c r="E825" s="16"/>
      <c r="F825" s="19"/>
      <c r="G825" s="20"/>
      <c r="H825" s="24"/>
      <c r="I825" s="25"/>
    </row>
    <row r="826" ht="15.75" customHeight="1">
      <c r="B826" s="13"/>
      <c r="D826" s="16"/>
      <c r="E826" s="16"/>
      <c r="F826" s="19"/>
      <c r="G826" s="20"/>
      <c r="H826" s="24"/>
      <c r="I826" s="25"/>
    </row>
    <row r="827" ht="15.75" customHeight="1">
      <c r="B827" s="13"/>
      <c r="D827" s="16"/>
      <c r="E827" s="16"/>
      <c r="F827" s="19"/>
      <c r="G827" s="20"/>
      <c r="H827" s="24"/>
      <c r="I827" s="25"/>
    </row>
    <row r="828" ht="15.75" customHeight="1">
      <c r="B828" s="13"/>
      <c r="D828" s="16"/>
      <c r="E828" s="16"/>
      <c r="F828" s="19"/>
      <c r="G828" s="20"/>
      <c r="H828" s="24"/>
      <c r="I828" s="25"/>
    </row>
    <row r="829" ht="15.75" customHeight="1">
      <c r="B829" s="13"/>
      <c r="D829" s="16"/>
      <c r="E829" s="16"/>
      <c r="F829" s="19"/>
      <c r="G829" s="20"/>
      <c r="H829" s="24"/>
      <c r="I829" s="25"/>
    </row>
    <row r="830" ht="15.75" customHeight="1">
      <c r="B830" s="13"/>
      <c r="D830" s="16"/>
      <c r="E830" s="16"/>
      <c r="F830" s="19"/>
      <c r="G830" s="20"/>
      <c r="H830" s="24"/>
      <c r="I830" s="25"/>
    </row>
    <row r="831" ht="15.75" customHeight="1">
      <c r="B831" s="13"/>
      <c r="D831" s="16"/>
      <c r="E831" s="16"/>
      <c r="F831" s="19"/>
      <c r="G831" s="20"/>
      <c r="H831" s="24"/>
      <c r="I831" s="25"/>
    </row>
    <row r="832" ht="15.75" customHeight="1">
      <c r="B832" s="13"/>
      <c r="D832" s="16"/>
      <c r="E832" s="16"/>
      <c r="F832" s="19"/>
      <c r="G832" s="20"/>
      <c r="H832" s="24"/>
      <c r="I832" s="25"/>
    </row>
    <row r="833" ht="15.75" customHeight="1">
      <c r="B833" s="13"/>
      <c r="D833" s="16"/>
      <c r="E833" s="16"/>
      <c r="F833" s="19"/>
      <c r="G833" s="20"/>
      <c r="H833" s="24"/>
      <c r="I833" s="25"/>
    </row>
    <row r="834" ht="15.75" customHeight="1">
      <c r="B834" s="13"/>
      <c r="D834" s="16"/>
      <c r="E834" s="16"/>
      <c r="F834" s="19"/>
      <c r="G834" s="20"/>
      <c r="H834" s="24"/>
      <c r="I834" s="25"/>
    </row>
    <row r="835" ht="15.75" customHeight="1">
      <c r="B835" s="13"/>
      <c r="D835" s="16"/>
      <c r="E835" s="16"/>
      <c r="F835" s="19"/>
      <c r="G835" s="20"/>
      <c r="H835" s="24"/>
      <c r="I835" s="25"/>
    </row>
    <row r="836" ht="15.75" customHeight="1">
      <c r="B836" s="13"/>
      <c r="D836" s="16"/>
      <c r="E836" s="16"/>
      <c r="F836" s="19"/>
      <c r="G836" s="20"/>
      <c r="H836" s="24"/>
      <c r="I836" s="25"/>
    </row>
    <row r="837" ht="15.75" customHeight="1">
      <c r="B837" s="13"/>
      <c r="D837" s="16"/>
      <c r="E837" s="16"/>
      <c r="F837" s="19"/>
      <c r="G837" s="20"/>
      <c r="H837" s="24"/>
      <c r="I837" s="25"/>
    </row>
    <row r="838" ht="15.75" customHeight="1">
      <c r="B838" s="13"/>
      <c r="D838" s="16"/>
      <c r="E838" s="16"/>
      <c r="F838" s="19"/>
      <c r="G838" s="20"/>
      <c r="H838" s="24"/>
      <c r="I838" s="25"/>
    </row>
    <row r="839" ht="15.75" customHeight="1">
      <c r="B839" s="13"/>
      <c r="D839" s="16"/>
      <c r="E839" s="16"/>
      <c r="F839" s="19"/>
      <c r="G839" s="20"/>
      <c r="H839" s="24"/>
      <c r="I839" s="25"/>
    </row>
    <row r="840" ht="15.75" customHeight="1">
      <c r="B840" s="13"/>
      <c r="D840" s="16"/>
      <c r="E840" s="16"/>
      <c r="F840" s="19"/>
      <c r="G840" s="20"/>
      <c r="H840" s="24"/>
      <c r="I840" s="25"/>
    </row>
    <row r="841" ht="15.75" customHeight="1">
      <c r="B841" s="13"/>
      <c r="D841" s="16"/>
      <c r="E841" s="16"/>
      <c r="F841" s="19"/>
      <c r="G841" s="20"/>
      <c r="H841" s="24"/>
      <c r="I841" s="25"/>
    </row>
    <row r="842" ht="15.75" customHeight="1">
      <c r="B842" s="13"/>
      <c r="D842" s="16"/>
      <c r="E842" s="16"/>
      <c r="F842" s="19"/>
      <c r="G842" s="20"/>
      <c r="H842" s="24"/>
      <c r="I842" s="25"/>
    </row>
    <row r="843" ht="15.75" customHeight="1">
      <c r="B843" s="13"/>
      <c r="D843" s="16"/>
      <c r="E843" s="16"/>
      <c r="F843" s="19"/>
      <c r="G843" s="20"/>
      <c r="H843" s="24"/>
      <c r="I843" s="25"/>
    </row>
    <row r="844" ht="15.75" customHeight="1">
      <c r="B844" s="13"/>
      <c r="D844" s="16"/>
      <c r="E844" s="16"/>
      <c r="F844" s="19"/>
      <c r="G844" s="20"/>
      <c r="H844" s="24"/>
      <c r="I844" s="25"/>
    </row>
    <row r="845" ht="15.75" customHeight="1">
      <c r="B845" s="13"/>
      <c r="D845" s="16"/>
      <c r="E845" s="16"/>
      <c r="F845" s="19"/>
      <c r="G845" s="20"/>
      <c r="H845" s="24"/>
      <c r="I845" s="25"/>
    </row>
    <row r="846" ht="15.75" customHeight="1">
      <c r="B846" s="13"/>
      <c r="D846" s="16"/>
      <c r="E846" s="16"/>
      <c r="F846" s="19"/>
      <c r="G846" s="20"/>
      <c r="H846" s="24"/>
      <c r="I846" s="25"/>
    </row>
    <row r="847" ht="15.75" customHeight="1">
      <c r="B847" s="13"/>
      <c r="D847" s="16"/>
      <c r="E847" s="16"/>
      <c r="F847" s="19"/>
      <c r="G847" s="20"/>
      <c r="H847" s="24"/>
      <c r="I847" s="25"/>
    </row>
    <row r="848" ht="15.75" customHeight="1">
      <c r="B848" s="13"/>
      <c r="D848" s="16"/>
      <c r="E848" s="16"/>
      <c r="F848" s="19"/>
      <c r="G848" s="20"/>
      <c r="H848" s="24"/>
      <c r="I848" s="25"/>
    </row>
    <row r="849" ht="15.75" customHeight="1">
      <c r="B849" s="13"/>
      <c r="D849" s="16"/>
      <c r="E849" s="16"/>
      <c r="F849" s="19"/>
      <c r="G849" s="20"/>
      <c r="H849" s="24"/>
      <c r="I849" s="25"/>
    </row>
    <row r="850" ht="15.75" customHeight="1">
      <c r="B850" s="13"/>
      <c r="D850" s="16"/>
      <c r="E850" s="16"/>
      <c r="F850" s="19"/>
      <c r="G850" s="20"/>
      <c r="H850" s="24"/>
      <c r="I850" s="25"/>
    </row>
    <row r="851" ht="15.75" customHeight="1">
      <c r="B851" s="13"/>
      <c r="D851" s="16"/>
      <c r="E851" s="16"/>
      <c r="F851" s="19"/>
      <c r="G851" s="20"/>
      <c r="H851" s="24"/>
      <c r="I851" s="25"/>
    </row>
    <row r="852" ht="15.75" customHeight="1">
      <c r="B852" s="13"/>
      <c r="D852" s="16"/>
      <c r="E852" s="16"/>
      <c r="F852" s="19"/>
      <c r="G852" s="20"/>
      <c r="H852" s="24"/>
      <c r="I852" s="25"/>
    </row>
    <row r="853" ht="15.75" customHeight="1">
      <c r="B853" s="13"/>
      <c r="D853" s="16"/>
      <c r="E853" s="16"/>
      <c r="F853" s="19"/>
      <c r="G853" s="20"/>
      <c r="H853" s="24"/>
      <c r="I853" s="25"/>
    </row>
    <row r="854" ht="15.75" customHeight="1">
      <c r="B854" s="13"/>
      <c r="D854" s="16"/>
      <c r="E854" s="16"/>
      <c r="F854" s="19"/>
      <c r="G854" s="20"/>
      <c r="H854" s="24"/>
      <c r="I854" s="25"/>
    </row>
    <row r="855" ht="15.75" customHeight="1">
      <c r="B855" s="13"/>
      <c r="D855" s="16"/>
      <c r="E855" s="16"/>
      <c r="F855" s="19"/>
      <c r="G855" s="20"/>
      <c r="H855" s="24"/>
      <c r="I855" s="25"/>
    </row>
    <row r="856" ht="15.75" customHeight="1">
      <c r="B856" s="13"/>
      <c r="D856" s="16"/>
      <c r="E856" s="16"/>
      <c r="F856" s="19"/>
      <c r="G856" s="20"/>
      <c r="H856" s="24"/>
      <c r="I856" s="25"/>
    </row>
    <row r="857" ht="15.75" customHeight="1">
      <c r="B857" s="13"/>
      <c r="D857" s="16"/>
      <c r="E857" s="16"/>
      <c r="F857" s="19"/>
      <c r="G857" s="20"/>
      <c r="H857" s="24"/>
      <c r="I857" s="25"/>
    </row>
    <row r="858" ht="15.75" customHeight="1">
      <c r="B858" s="13"/>
      <c r="D858" s="16"/>
      <c r="E858" s="16"/>
      <c r="F858" s="19"/>
      <c r="G858" s="20"/>
      <c r="H858" s="24"/>
      <c r="I858" s="25"/>
    </row>
    <row r="859" ht="15.75" customHeight="1">
      <c r="B859" s="13"/>
      <c r="D859" s="16"/>
      <c r="E859" s="16"/>
      <c r="F859" s="19"/>
      <c r="G859" s="20"/>
      <c r="H859" s="24"/>
      <c r="I859" s="25"/>
    </row>
    <row r="860" ht="15.75" customHeight="1">
      <c r="B860" s="13"/>
      <c r="D860" s="16"/>
      <c r="E860" s="16"/>
      <c r="F860" s="19"/>
      <c r="G860" s="20"/>
      <c r="H860" s="24"/>
      <c r="I860" s="25"/>
    </row>
    <row r="861" ht="15.75" customHeight="1">
      <c r="B861" s="13"/>
      <c r="D861" s="16"/>
      <c r="E861" s="16"/>
      <c r="F861" s="19"/>
      <c r="G861" s="20"/>
      <c r="H861" s="24"/>
      <c r="I861" s="25"/>
    </row>
    <row r="862" ht="15.75" customHeight="1">
      <c r="B862" s="13"/>
      <c r="D862" s="16"/>
      <c r="E862" s="16"/>
      <c r="F862" s="19"/>
      <c r="G862" s="20"/>
      <c r="H862" s="24"/>
      <c r="I862" s="25"/>
    </row>
    <row r="863" ht="15.75" customHeight="1">
      <c r="B863" s="13"/>
      <c r="D863" s="16"/>
      <c r="E863" s="16"/>
      <c r="F863" s="19"/>
      <c r="G863" s="20"/>
      <c r="H863" s="24"/>
      <c r="I863" s="25"/>
    </row>
    <row r="864" ht="15.75" customHeight="1">
      <c r="B864" s="13"/>
      <c r="D864" s="16"/>
      <c r="E864" s="16"/>
      <c r="F864" s="19"/>
      <c r="G864" s="20"/>
      <c r="H864" s="24"/>
      <c r="I864" s="25"/>
    </row>
    <row r="865" ht="15.75" customHeight="1">
      <c r="B865" s="13"/>
      <c r="D865" s="16"/>
      <c r="E865" s="16"/>
      <c r="F865" s="19"/>
      <c r="G865" s="20"/>
      <c r="H865" s="24"/>
      <c r="I865" s="25"/>
    </row>
    <row r="866" ht="15.75" customHeight="1">
      <c r="B866" s="13"/>
      <c r="D866" s="16"/>
      <c r="E866" s="16"/>
      <c r="F866" s="19"/>
      <c r="G866" s="20"/>
      <c r="H866" s="24"/>
      <c r="I866" s="25"/>
    </row>
    <row r="867" ht="15.75" customHeight="1">
      <c r="B867" s="13"/>
      <c r="D867" s="16"/>
      <c r="E867" s="16"/>
      <c r="F867" s="19"/>
      <c r="G867" s="20"/>
      <c r="H867" s="24"/>
      <c r="I867" s="25"/>
    </row>
    <row r="868" ht="15.75" customHeight="1">
      <c r="B868" s="13"/>
      <c r="D868" s="16"/>
      <c r="E868" s="16"/>
      <c r="F868" s="19"/>
      <c r="G868" s="20"/>
      <c r="H868" s="24"/>
      <c r="I868" s="25"/>
    </row>
    <row r="869" ht="15.75" customHeight="1">
      <c r="B869" s="13"/>
      <c r="D869" s="16"/>
      <c r="E869" s="16"/>
      <c r="F869" s="19"/>
      <c r="G869" s="20"/>
      <c r="H869" s="24"/>
      <c r="I869" s="25"/>
    </row>
    <row r="870" ht="15.75" customHeight="1">
      <c r="B870" s="13"/>
      <c r="D870" s="16"/>
      <c r="E870" s="16"/>
      <c r="F870" s="19"/>
      <c r="G870" s="20"/>
      <c r="H870" s="24"/>
      <c r="I870" s="25"/>
    </row>
    <row r="871" ht="15.75" customHeight="1">
      <c r="B871" s="13"/>
      <c r="D871" s="16"/>
      <c r="E871" s="16"/>
      <c r="F871" s="19"/>
      <c r="G871" s="20"/>
      <c r="H871" s="24"/>
      <c r="I871" s="25"/>
    </row>
    <row r="872" ht="15.75" customHeight="1">
      <c r="B872" s="13"/>
      <c r="D872" s="16"/>
      <c r="E872" s="16"/>
      <c r="F872" s="19"/>
      <c r="G872" s="20"/>
      <c r="H872" s="24"/>
      <c r="I872" s="25"/>
    </row>
    <row r="873" ht="15.75" customHeight="1">
      <c r="B873" s="13"/>
      <c r="D873" s="16"/>
      <c r="E873" s="16"/>
      <c r="F873" s="19"/>
      <c r="G873" s="20"/>
      <c r="H873" s="24"/>
      <c r="I873" s="25"/>
    </row>
    <row r="874" ht="15.75" customHeight="1">
      <c r="B874" s="13"/>
      <c r="D874" s="16"/>
      <c r="E874" s="16"/>
      <c r="F874" s="19"/>
      <c r="G874" s="20"/>
      <c r="H874" s="24"/>
      <c r="I874" s="25"/>
    </row>
    <row r="875" ht="15.75" customHeight="1">
      <c r="B875" s="13"/>
      <c r="D875" s="16"/>
      <c r="E875" s="16"/>
      <c r="F875" s="19"/>
      <c r="G875" s="20"/>
      <c r="H875" s="24"/>
      <c r="I875" s="25"/>
    </row>
    <row r="876" ht="15.75" customHeight="1">
      <c r="B876" s="13"/>
      <c r="D876" s="16"/>
      <c r="E876" s="16"/>
      <c r="F876" s="19"/>
      <c r="G876" s="20"/>
      <c r="H876" s="24"/>
      <c r="I876" s="25"/>
    </row>
    <row r="877" ht="15.75" customHeight="1">
      <c r="B877" s="13"/>
      <c r="D877" s="16"/>
      <c r="E877" s="16"/>
      <c r="F877" s="19"/>
      <c r="G877" s="20"/>
      <c r="H877" s="24"/>
      <c r="I877" s="25"/>
    </row>
    <row r="878" ht="15.75" customHeight="1">
      <c r="B878" s="13"/>
      <c r="D878" s="16"/>
      <c r="E878" s="16"/>
      <c r="F878" s="19"/>
      <c r="G878" s="20"/>
      <c r="H878" s="24"/>
      <c r="I878" s="25"/>
    </row>
    <row r="879" ht="15.75" customHeight="1">
      <c r="B879" s="13"/>
      <c r="D879" s="16"/>
      <c r="E879" s="16"/>
      <c r="F879" s="19"/>
      <c r="G879" s="20"/>
      <c r="H879" s="24"/>
      <c r="I879" s="25"/>
    </row>
    <row r="880" ht="15.75" customHeight="1">
      <c r="B880" s="13"/>
      <c r="D880" s="16"/>
      <c r="E880" s="16"/>
      <c r="F880" s="19"/>
      <c r="G880" s="20"/>
      <c r="H880" s="24"/>
      <c r="I880" s="25"/>
    </row>
    <row r="881" ht="15.75" customHeight="1">
      <c r="B881" s="13"/>
      <c r="D881" s="16"/>
      <c r="E881" s="16"/>
      <c r="F881" s="19"/>
      <c r="G881" s="20"/>
      <c r="H881" s="24"/>
      <c r="I881" s="25"/>
    </row>
    <row r="882" ht="15.75" customHeight="1">
      <c r="B882" s="13"/>
      <c r="D882" s="16"/>
      <c r="E882" s="16"/>
      <c r="F882" s="19"/>
      <c r="G882" s="20"/>
      <c r="H882" s="24"/>
      <c r="I882" s="25"/>
    </row>
    <row r="883" ht="15.75" customHeight="1">
      <c r="B883" s="13"/>
      <c r="D883" s="16"/>
      <c r="E883" s="16"/>
      <c r="F883" s="19"/>
      <c r="G883" s="20"/>
      <c r="H883" s="24"/>
      <c r="I883" s="25"/>
    </row>
    <row r="884" ht="15.75" customHeight="1">
      <c r="B884" s="13"/>
      <c r="D884" s="16"/>
      <c r="E884" s="16"/>
      <c r="F884" s="19"/>
      <c r="G884" s="20"/>
      <c r="H884" s="24"/>
      <c r="I884" s="25"/>
    </row>
    <row r="885" ht="15.75" customHeight="1">
      <c r="B885" s="13"/>
      <c r="D885" s="16"/>
      <c r="E885" s="16"/>
      <c r="F885" s="19"/>
      <c r="G885" s="20"/>
      <c r="H885" s="24"/>
      <c r="I885" s="25"/>
    </row>
    <row r="886" ht="15.75" customHeight="1">
      <c r="B886" s="13"/>
      <c r="D886" s="16"/>
      <c r="E886" s="16"/>
      <c r="F886" s="19"/>
      <c r="G886" s="20"/>
      <c r="H886" s="24"/>
      <c r="I886" s="25"/>
    </row>
    <row r="887" ht="15.75" customHeight="1">
      <c r="B887" s="13"/>
      <c r="D887" s="16"/>
      <c r="E887" s="16"/>
      <c r="F887" s="19"/>
      <c r="G887" s="20"/>
      <c r="H887" s="24"/>
      <c r="I887" s="25"/>
    </row>
    <row r="888" ht="15.75" customHeight="1">
      <c r="B888" s="13"/>
      <c r="D888" s="16"/>
      <c r="E888" s="16"/>
      <c r="F888" s="19"/>
      <c r="G888" s="20"/>
      <c r="H888" s="24"/>
      <c r="I888" s="25"/>
    </row>
    <row r="889" ht="15.75" customHeight="1">
      <c r="B889" s="13"/>
      <c r="D889" s="16"/>
      <c r="E889" s="16"/>
      <c r="F889" s="19"/>
      <c r="G889" s="20"/>
      <c r="H889" s="24"/>
      <c r="I889" s="25"/>
    </row>
    <row r="890" ht="15.75" customHeight="1">
      <c r="B890" s="13"/>
      <c r="D890" s="16"/>
      <c r="E890" s="16"/>
      <c r="F890" s="19"/>
      <c r="G890" s="20"/>
      <c r="H890" s="24"/>
      <c r="I890" s="25"/>
    </row>
    <row r="891" ht="15.75" customHeight="1">
      <c r="B891" s="13"/>
      <c r="D891" s="16"/>
      <c r="E891" s="16"/>
      <c r="F891" s="19"/>
      <c r="G891" s="20"/>
      <c r="H891" s="24"/>
      <c r="I891" s="25"/>
    </row>
    <row r="892" ht="15.75" customHeight="1">
      <c r="B892" s="13"/>
      <c r="D892" s="16"/>
      <c r="E892" s="16"/>
      <c r="F892" s="19"/>
      <c r="G892" s="20"/>
      <c r="H892" s="24"/>
      <c r="I892" s="25"/>
    </row>
    <row r="893" ht="15.75" customHeight="1">
      <c r="B893" s="13"/>
      <c r="D893" s="16"/>
      <c r="E893" s="16"/>
      <c r="F893" s="19"/>
      <c r="G893" s="20"/>
      <c r="H893" s="24"/>
      <c r="I893" s="25"/>
    </row>
    <row r="894" ht="15.75" customHeight="1">
      <c r="B894" s="13"/>
      <c r="D894" s="16"/>
      <c r="E894" s="16"/>
      <c r="F894" s="19"/>
      <c r="G894" s="20"/>
      <c r="H894" s="24"/>
      <c r="I894" s="25"/>
    </row>
    <row r="895" ht="15.75" customHeight="1">
      <c r="B895" s="13"/>
      <c r="D895" s="16"/>
      <c r="E895" s="16"/>
      <c r="F895" s="19"/>
      <c r="G895" s="20"/>
      <c r="H895" s="24"/>
      <c r="I895" s="25"/>
    </row>
    <row r="896" ht="15.75" customHeight="1">
      <c r="B896" s="13"/>
      <c r="D896" s="16"/>
      <c r="E896" s="16"/>
      <c r="F896" s="19"/>
      <c r="G896" s="20"/>
      <c r="H896" s="24"/>
      <c r="I896" s="25"/>
    </row>
    <row r="897" ht="15.75" customHeight="1">
      <c r="B897" s="13"/>
      <c r="D897" s="16"/>
      <c r="E897" s="16"/>
      <c r="F897" s="19"/>
      <c r="G897" s="20"/>
      <c r="H897" s="24"/>
      <c r="I897" s="25"/>
    </row>
    <row r="898" ht="15.75" customHeight="1">
      <c r="B898" s="13"/>
      <c r="D898" s="16"/>
      <c r="E898" s="16"/>
      <c r="F898" s="19"/>
      <c r="G898" s="20"/>
      <c r="H898" s="24"/>
      <c r="I898" s="25"/>
    </row>
    <row r="899" ht="15.75" customHeight="1">
      <c r="B899" s="13"/>
      <c r="D899" s="16"/>
      <c r="E899" s="16"/>
      <c r="F899" s="19"/>
      <c r="G899" s="20"/>
      <c r="H899" s="24"/>
      <c r="I899" s="25"/>
    </row>
    <row r="900" ht="15.75" customHeight="1">
      <c r="B900" s="13"/>
      <c r="D900" s="16"/>
      <c r="E900" s="16"/>
      <c r="F900" s="19"/>
      <c r="G900" s="20"/>
      <c r="H900" s="24"/>
      <c r="I900" s="25"/>
    </row>
    <row r="901" ht="15.75" customHeight="1">
      <c r="B901" s="13"/>
      <c r="D901" s="16"/>
      <c r="E901" s="16"/>
      <c r="F901" s="19"/>
      <c r="G901" s="20"/>
      <c r="H901" s="24"/>
      <c r="I901" s="25"/>
    </row>
    <row r="902" ht="15.75" customHeight="1">
      <c r="B902" s="13"/>
      <c r="D902" s="16"/>
      <c r="E902" s="16"/>
      <c r="F902" s="19"/>
      <c r="G902" s="20"/>
      <c r="H902" s="24"/>
      <c r="I902" s="25"/>
    </row>
    <row r="903" ht="15.75" customHeight="1">
      <c r="B903" s="13"/>
      <c r="D903" s="16"/>
      <c r="E903" s="16"/>
      <c r="F903" s="19"/>
      <c r="G903" s="20"/>
      <c r="H903" s="24"/>
      <c r="I903" s="25"/>
    </row>
    <row r="904" ht="15.75" customHeight="1">
      <c r="B904" s="13"/>
      <c r="D904" s="16"/>
      <c r="E904" s="16"/>
      <c r="F904" s="19"/>
      <c r="G904" s="20"/>
      <c r="H904" s="24"/>
      <c r="I904" s="25"/>
    </row>
    <row r="905" ht="15.75" customHeight="1">
      <c r="B905" s="13"/>
      <c r="D905" s="16"/>
      <c r="E905" s="16"/>
      <c r="F905" s="19"/>
      <c r="G905" s="20"/>
      <c r="H905" s="24"/>
      <c r="I905" s="25"/>
    </row>
    <row r="906" ht="15.75" customHeight="1">
      <c r="B906" s="13"/>
      <c r="D906" s="16"/>
      <c r="E906" s="16"/>
      <c r="F906" s="19"/>
      <c r="G906" s="20"/>
      <c r="H906" s="24"/>
      <c r="I906" s="25"/>
    </row>
    <row r="907" ht="15.75" customHeight="1">
      <c r="B907" s="13"/>
      <c r="D907" s="16"/>
      <c r="E907" s="16"/>
      <c r="F907" s="19"/>
      <c r="G907" s="20"/>
      <c r="H907" s="24"/>
      <c r="I907" s="25"/>
    </row>
    <row r="908" ht="15.75" customHeight="1">
      <c r="B908" s="13"/>
      <c r="D908" s="16"/>
      <c r="E908" s="16"/>
      <c r="F908" s="19"/>
      <c r="G908" s="20"/>
      <c r="H908" s="24"/>
      <c r="I908" s="25"/>
    </row>
    <row r="909" ht="15.75" customHeight="1">
      <c r="B909" s="13"/>
      <c r="D909" s="16"/>
      <c r="E909" s="16"/>
      <c r="F909" s="19"/>
      <c r="G909" s="20"/>
      <c r="H909" s="24"/>
      <c r="I909" s="25"/>
    </row>
    <row r="910" ht="15.75" customHeight="1">
      <c r="B910" s="13"/>
      <c r="D910" s="16"/>
      <c r="E910" s="16"/>
      <c r="F910" s="19"/>
      <c r="G910" s="20"/>
      <c r="H910" s="24"/>
      <c r="I910" s="25"/>
    </row>
    <row r="911" ht="15.75" customHeight="1">
      <c r="B911" s="13"/>
      <c r="D911" s="16"/>
      <c r="E911" s="16"/>
      <c r="F911" s="19"/>
      <c r="G911" s="20"/>
      <c r="H911" s="24"/>
      <c r="I911" s="25"/>
    </row>
    <row r="912" ht="15.75" customHeight="1">
      <c r="B912" s="13"/>
      <c r="D912" s="16"/>
      <c r="E912" s="16"/>
      <c r="F912" s="19"/>
      <c r="G912" s="20"/>
      <c r="H912" s="24"/>
      <c r="I912" s="25"/>
    </row>
    <row r="913" ht="15.75" customHeight="1">
      <c r="B913" s="13"/>
      <c r="D913" s="16"/>
      <c r="E913" s="16"/>
      <c r="F913" s="19"/>
      <c r="G913" s="20"/>
      <c r="H913" s="24"/>
      <c r="I913" s="25"/>
    </row>
    <row r="914" ht="15.75" customHeight="1">
      <c r="B914" s="13"/>
      <c r="D914" s="16"/>
      <c r="E914" s="16"/>
      <c r="F914" s="19"/>
      <c r="G914" s="20"/>
      <c r="H914" s="24"/>
      <c r="I914" s="25"/>
    </row>
    <row r="915" ht="15.75" customHeight="1">
      <c r="B915" s="13"/>
      <c r="D915" s="16"/>
      <c r="E915" s="16"/>
      <c r="F915" s="19"/>
      <c r="G915" s="20"/>
      <c r="H915" s="24"/>
      <c r="I915" s="25"/>
    </row>
    <row r="916" ht="15.75" customHeight="1">
      <c r="B916" s="13"/>
      <c r="D916" s="16"/>
      <c r="E916" s="16"/>
      <c r="F916" s="19"/>
      <c r="G916" s="20"/>
      <c r="H916" s="24"/>
      <c r="I916" s="25"/>
    </row>
    <row r="917" ht="15.75" customHeight="1">
      <c r="B917" s="13"/>
      <c r="D917" s="16"/>
      <c r="E917" s="16"/>
      <c r="F917" s="19"/>
      <c r="G917" s="20"/>
      <c r="H917" s="24"/>
      <c r="I917" s="25"/>
    </row>
    <row r="918" ht="15.75" customHeight="1">
      <c r="B918" s="13"/>
      <c r="D918" s="16"/>
      <c r="E918" s="16"/>
      <c r="F918" s="19"/>
      <c r="G918" s="20"/>
      <c r="H918" s="24"/>
      <c r="I918" s="25"/>
    </row>
    <row r="919" ht="15.75" customHeight="1">
      <c r="B919" s="13"/>
      <c r="D919" s="16"/>
      <c r="E919" s="16"/>
      <c r="F919" s="19"/>
      <c r="G919" s="20"/>
      <c r="H919" s="24"/>
      <c r="I919" s="25"/>
    </row>
    <row r="920" ht="15.75" customHeight="1">
      <c r="B920" s="13"/>
      <c r="D920" s="16"/>
      <c r="E920" s="16"/>
      <c r="F920" s="19"/>
      <c r="G920" s="20"/>
      <c r="H920" s="24"/>
      <c r="I920" s="25"/>
    </row>
    <row r="921" ht="15.75" customHeight="1">
      <c r="B921" s="13"/>
      <c r="D921" s="16"/>
      <c r="E921" s="16"/>
      <c r="F921" s="19"/>
      <c r="G921" s="20"/>
      <c r="H921" s="24"/>
      <c r="I921" s="25"/>
    </row>
    <row r="922" ht="15.75" customHeight="1">
      <c r="B922" s="13"/>
      <c r="D922" s="16"/>
      <c r="E922" s="16"/>
      <c r="F922" s="19"/>
      <c r="G922" s="20"/>
      <c r="H922" s="24"/>
      <c r="I922" s="25"/>
    </row>
    <row r="923" ht="15.75" customHeight="1">
      <c r="B923" s="13"/>
      <c r="D923" s="16"/>
      <c r="E923" s="16"/>
      <c r="F923" s="19"/>
      <c r="G923" s="20"/>
      <c r="H923" s="24"/>
      <c r="I923" s="25"/>
    </row>
    <row r="924" ht="15.75" customHeight="1">
      <c r="B924" s="13"/>
      <c r="D924" s="16"/>
      <c r="E924" s="16"/>
      <c r="F924" s="19"/>
      <c r="G924" s="20"/>
      <c r="H924" s="24"/>
      <c r="I924" s="25"/>
    </row>
    <row r="925" ht="15.75" customHeight="1">
      <c r="B925" s="13"/>
      <c r="D925" s="16"/>
      <c r="E925" s="16"/>
      <c r="F925" s="19"/>
      <c r="G925" s="20"/>
      <c r="H925" s="24"/>
      <c r="I925" s="25"/>
    </row>
    <row r="926" ht="15.75" customHeight="1">
      <c r="B926" s="13"/>
      <c r="D926" s="16"/>
      <c r="E926" s="16"/>
      <c r="F926" s="19"/>
      <c r="G926" s="20"/>
      <c r="H926" s="24"/>
      <c r="I926" s="25"/>
    </row>
    <row r="927" ht="15.75" customHeight="1">
      <c r="B927" s="13"/>
      <c r="D927" s="16"/>
      <c r="E927" s="16"/>
      <c r="F927" s="19"/>
      <c r="G927" s="20"/>
      <c r="H927" s="24"/>
      <c r="I927" s="25"/>
    </row>
    <row r="928" ht="15.75" customHeight="1">
      <c r="B928" s="13"/>
      <c r="D928" s="16"/>
      <c r="E928" s="16"/>
      <c r="F928" s="19"/>
      <c r="G928" s="20"/>
      <c r="H928" s="24"/>
      <c r="I928" s="25"/>
    </row>
    <row r="929" ht="15.75" customHeight="1">
      <c r="B929" s="13"/>
      <c r="D929" s="16"/>
      <c r="E929" s="16"/>
      <c r="F929" s="19"/>
      <c r="G929" s="20"/>
      <c r="H929" s="24"/>
      <c r="I929" s="25"/>
    </row>
    <row r="930" ht="15.75" customHeight="1">
      <c r="B930" s="13"/>
      <c r="D930" s="16"/>
      <c r="E930" s="16"/>
      <c r="F930" s="19"/>
      <c r="G930" s="20"/>
      <c r="H930" s="24"/>
      <c r="I930" s="25"/>
    </row>
    <row r="931" ht="15.75" customHeight="1">
      <c r="B931" s="13"/>
      <c r="D931" s="16"/>
      <c r="E931" s="16"/>
      <c r="F931" s="19"/>
      <c r="G931" s="20"/>
      <c r="H931" s="24"/>
      <c r="I931" s="25"/>
    </row>
    <row r="932" ht="15.75" customHeight="1">
      <c r="B932" s="13"/>
      <c r="D932" s="16"/>
      <c r="E932" s="16"/>
      <c r="F932" s="19"/>
      <c r="G932" s="20"/>
      <c r="H932" s="24"/>
      <c r="I932" s="25"/>
    </row>
    <row r="933" ht="15.75" customHeight="1">
      <c r="B933" s="13"/>
      <c r="D933" s="16"/>
      <c r="E933" s="16"/>
      <c r="F933" s="19"/>
      <c r="G933" s="20"/>
      <c r="H933" s="24"/>
      <c r="I933" s="25"/>
    </row>
    <row r="934" ht="15.75" customHeight="1">
      <c r="B934" s="13"/>
      <c r="D934" s="16"/>
      <c r="E934" s="16"/>
      <c r="F934" s="19"/>
      <c r="G934" s="20"/>
      <c r="H934" s="24"/>
      <c r="I934" s="25"/>
    </row>
    <row r="935" ht="15.75" customHeight="1">
      <c r="B935" s="13"/>
      <c r="D935" s="16"/>
      <c r="E935" s="16"/>
      <c r="F935" s="19"/>
      <c r="G935" s="20"/>
      <c r="H935" s="24"/>
      <c r="I935" s="25"/>
    </row>
    <row r="936" ht="15.75" customHeight="1">
      <c r="B936" s="13"/>
      <c r="D936" s="16"/>
      <c r="E936" s="16"/>
      <c r="F936" s="19"/>
      <c r="G936" s="20"/>
      <c r="H936" s="24"/>
      <c r="I936" s="25"/>
    </row>
    <row r="937" ht="15.75" customHeight="1">
      <c r="B937" s="13"/>
      <c r="D937" s="16"/>
      <c r="E937" s="16"/>
      <c r="F937" s="19"/>
      <c r="G937" s="20"/>
      <c r="H937" s="24"/>
      <c r="I937" s="25"/>
    </row>
    <row r="938" ht="15.75" customHeight="1">
      <c r="B938" s="13"/>
      <c r="D938" s="16"/>
      <c r="E938" s="16"/>
      <c r="F938" s="19"/>
      <c r="G938" s="20"/>
      <c r="H938" s="24"/>
      <c r="I938" s="25"/>
    </row>
    <row r="939" ht="15.75" customHeight="1">
      <c r="B939" s="13"/>
      <c r="D939" s="16"/>
      <c r="E939" s="16"/>
      <c r="F939" s="19"/>
      <c r="G939" s="20"/>
      <c r="H939" s="24"/>
      <c r="I939" s="25"/>
    </row>
    <row r="940" ht="15.75" customHeight="1">
      <c r="B940" s="13"/>
      <c r="D940" s="16"/>
      <c r="E940" s="16"/>
      <c r="F940" s="19"/>
      <c r="G940" s="20"/>
      <c r="H940" s="24"/>
      <c r="I940" s="25"/>
    </row>
    <row r="941" ht="15.75" customHeight="1">
      <c r="B941" s="13"/>
      <c r="D941" s="16"/>
      <c r="E941" s="16"/>
      <c r="F941" s="19"/>
      <c r="G941" s="20"/>
      <c r="H941" s="24"/>
      <c r="I941" s="25"/>
    </row>
    <row r="942" ht="15.75" customHeight="1">
      <c r="B942" s="13"/>
      <c r="D942" s="16"/>
      <c r="E942" s="16"/>
      <c r="F942" s="19"/>
      <c r="G942" s="20"/>
      <c r="H942" s="24"/>
      <c r="I942" s="25"/>
    </row>
    <row r="943" ht="15.75" customHeight="1">
      <c r="B943" s="13"/>
      <c r="D943" s="16"/>
      <c r="E943" s="16"/>
      <c r="F943" s="19"/>
      <c r="G943" s="20"/>
      <c r="H943" s="24"/>
      <c r="I943" s="25"/>
    </row>
    <row r="944" ht="15.75" customHeight="1">
      <c r="B944" s="13"/>
      <c r="D944" s="16"/>
      <c r="E944" s="16"/>
      <c r="F944" s="19"/>
      <c r="G944" s="20"/>
      <c r="H944" s="24"/>
      <c r="I944" s="25"/>
    </row>
    <row r="945" ht="15.75" customHeight="1">
      <c r="B945" s="13"/>
      <c r="D945" s="16"/>
      <c r="E945" s="16"/>
      <c r="F945" s="19"/>
      <c r="G945" s="20"/>
      <c r="H945" s="24"/>
      <c r="I945" s="25"/>
    </row>
    <row r="946" ht="15.75" customHeight="1">
      <c r="B946" s="13"/>
      <c r="D946" s="16"/>
      <c r="E946" s="16"/>
      <c r="F946" s="19"/>
      <c r="G946" s="20"/>
      <c r="H946" s="24"/>
      <c r="I946" s="25"/>
    </row>
    <row r="947" ht="15.75" customHeight="1">
      <c r="B947" s="13"/>
      <c r="D947" s="16"/>
      <c r="E947" s="16"/>
      <c r="F947" s="19"/>
      <c r="G947" s="20"/>
      <c r="H947" s="24"/>
      <c r="I947" s="25"/>
    </row>
    <row r="948" ht="15.75" customHeight="1">
      <c r="B948" s="13"/>
      <c r="D948" s="16"/>
      <c r="E948" s="16"/>
      <c r="F948" s="19"/>
      <c r="G948" s="20"/>
      <c r="H948" s="24"/>
      <c r="I948" s="25"/>
    </row>
    <row r="949" ht="15.75" customHeight="1">
      <c r="B949" s="13"/>
      <c r="D949" s="16"/>
      <c r="E949" s="16"/>
      <c r="F949" s="19"/>
      <c r="G949" s="20"/>
      <c r="H949" s="24"/>
      <c r="I949" s="25"/>
    </row>
    <row r="950" ht="15.75" customHeight="1">
      <c r="B950" s="13"/>
      <c r="D950" s="16"/>
      <c r="E950" s="16"/>
      <c r="F950" s="19"/>
      <c r="G950" s="20"/>
      <c r="H950" s="24"/>
      <c r="I950" s="25"/>
    </row>
    <row r="951" ht="15.75" customHeight="1">
      <c r="B951" s="13"/>
      <c r="D951" s="16"/>
      <c r="E951" s="16"/>
      <c r="F951" s="19"/>
      <c r="G951" s="20"/>
      <c r="H951" s="24"/>
      <c r="I951" s="25"/>
    </row>
    <row r="952" ht="15.75" customHeight="1">
      <c r="B952" s="13"/>
      <c r="D952" s="16"/>
      <c r="E952" s="16"/>
      <c r="F952" s="19"/>
      <c r="G952" s="20"/>
      <c r="H952" s="24"/>
      <c r="I952" s="25"/>
    </row>
    <row r="953" ht="15.75" customHeight="1">
      <c r="B953" s="13"/>
      <c r="D953" s="16"/>
      <c r="E953" s="16"/>
      <c r="F953" s="19"/>
      <c r="G953" s="20"/>
      <c r="H953" s="24"/>
      <c r="I953" s="25"/>
    </row>
    <row r="954" ht="15.75" customHeight="1">
      <c r="B954" s="13"/>
      <c r="D954" s="16"/>
      <c r="E954" s="16"/>
      <c r="F954" s="19"/>
      <c r="G954" s="20"/>
      <c r="H954" s="24"/>
      <c r="I954" s="25"/>
    </row>
    <row r="955" ht="15.75" customHeight="1">
      <c r="B955" s="13"/>
      <c r="D955" s="16"/>
      <c r="E955" s="16"/>
      <c r="F955" s="19"/>
      <c r="G955" s="20"/>
      <c r="H955" s="24"/>
      <c r="I955" s="25"/>
    </row>
    <row r="956" ht="15.75" customHeight="1">
      <c r="B956" s="13"/>
      <c r="D956" s="16"/>
      <c r="E956" s="16"/>
      <c r="F956" s="19"/>
      <c r="G956" s="20"/>
      <c r="H956" s="24"/>
      <c r="I956" s="25"/>
    </row>
    <row r="957" ht="15.75" customHeight="1">
      <c r="B957" s="13"/>
      <c r="D957" s="16"/>
      <c r="E957" s="16"/>
      <c r="F957" s="19"/>
      <c r="G957" s="20"/>
      <c r="H957" s="24"/>
      <c r="I957" s="25"/>
    </row>
    <row r="958" ht="15.75" customHeight="1">
      <c r="B958" s="13"/>
      <c r="D958" s="16"/>
      <c r="E958" s="16"/>
      <c r="F958" s="19"/>
      <c r="G958" s="20"/>
      <c r="H958" s="24"/>
      <c r="I958" s="25"/>
    </row>
    <row r="959" ht="15.75" customHeight="1">
      <c r="B959" s="13"/>
      <c r="D959" s="16"/>
      <c r="E959" s="16"/>
      <c r="F959" s="19"/>
      <c r="G959" s="20"/>
      <c r="H959" s="24"/>
      <c r="I959" s="25"/>
    </row>
    <row r="960" ht="15.75" customHeight="1">
      <c r="B960" s="13"/>
      <c r="D960" s="16"/>
      <c r="E960" s="16"/>
      <c r="F960" s="19"/>
      <c r="G960" s="20"/>
      <c r="H960" s="24"/>
      <c r="I960" s="25"/>
    </row>
    <row r="961" ht="15.75" customHeight="1">
      <c r="B961" s="13"/>
      <c r="D961" s="16"/>
      <c r="E961" s="16"/>
      <c r="F961" s="19"/>
      <c r="G961" s="20"/>
      <c r="H961" s="24"/>
      <c r="I961" s="25"/>
    </row>
    <row r="962" ht="15.75" customHeight="1">
      <c r="B962" s="13"/>
      <c r="D962" s="16"/>
      <c r="E962" s="16"/>
      <c r="F962" s="19"/>
      <c r="G962" s="20"/>
      <c r="H962" s="24"/>
      <c r="I962" s="25"/>
    </row>
    <row r="963" ht="15.75" customHeight="1">
      <c r="B963" s="13"/>
      <c r="D963" s="16"/>
      <c r="E963" s="16"/>
      <c r="F963" s="19"/>
      <c r="G963" s="20"/>
      <c r="H963" s="24"/>
      <c r="I963" s="25"/>
    </row>
    <row r="964" ht="15.75" customHeight="1">
      <c r="B964" s="13"/>
      <c r="D964" s="16"/>
      <c r="E964" s="16"/>
      <c r="F964" s="19"/>
      <c r="G964" s="20"/>
      <c r="H964" s="24"/>
      <c r="I964" s="25"/>
    </row>
    <row r="965" ht="15.75" customHeight="1">
      <c r="B965" s="13"/>
      <c r="D965" s="16"/>
      <c r="E965" s="16"/>
      <c r="F965" s="19"/>
      <c r="G965" s="20"/>
      <c r="H965" s="24"/>
      <c r="I965" s="25"/>
    </row>
    <row r="966" ht="15.75" customHeight="1">
      <c r="B966" s="13"/>
      <c r="D966" s="16"/>
      <c r="E966" s="16"/>
      <c r="F966" s="19"/>
      <c r="G966" s="20"/>
      <c r="H966" s="24"/>
      <c r="I966" s="25"/>
    </row>
    <row r="967" ht="15.75" customHeight="1">
      <c r="B967" s="13"/>
      <c r="D967" s="16"/>
      <c r="E967" s="16"/>
      <c r="F967" s="19"/>
      <c r="G967" s="20"/>
      <c r="H967" s="24"/>
      <c r="I967" s="25"/>
    </row>
    <row r="968" ht="15.75" customHeight="1">
      <c r="B968" s="13"/>
      <c r="D968" s="16"/>
      <c r="E968" s="16"/>
      <c r="F968" s="19"/>
      <c r="G968" s="20"/>
      <c r="H968" s="24"/>
      <c r="I968" s="25"/>
    </row>
    <row r="969" ht="15.75" customHeight="1">
      <c r="B969" s="13"/>
      <c r="D969" s="16"/>
      <c r="E969" s="16"/>
      <c r="F969" s="19"/>
      <c r="G969" s="20"/>
      <c r="H969" s="24"/>
      <c r="I969" s="25"/>
    </row>
    <row r="970" ht="15.75" customHeight="1">
      <c r="B970" s="13"/>
      <c r="D970" s="16"/>
      <c r="E970" s="16"/>
      <c r="F970" s="19"/>
      <c r="G970" s="20"/>
      <c r="H970" s="24"/>
      <c r="I970" s="25"/>
    </row>
    <row r="971" ht="15.75" customHeight="1">
      <c r="B971" s="13"/>
      <c r="D971" s="16"/>
      <c r="E971" s="16"/>
      <c r="F971" s="19"/>
      <c r="G971" s="20"/>
      <c r="H971" s="24"/>
      <c r="I971" s="25"/>
    </row>
    <row r="972" ht="15.75" customHeight="1">
      <c r="B972" s="13"/>
      <c r="D972" s="16"/>
      <c r="E972" s="16"/>
      <c r="F972" s="19"/>
      <c r="G972" s="20"/>
      <c r="H972" s="24"/>
      <c r="I972" s="25"/>
    </row>
    <row r="973" ht="15.75" customHeight="1">
      <c r="B973" s="13"/>
      <c r="D973" s="16"/>
      <c r="E973" s="16"/>
      <c r="F973" s="19"/>
      <c r="G973" s="20"/>
      <c r="H973" s="24"/>
      <c r="I973" s="25"/>
    </row>
    <row r="974" ht="15.75" customHeight="1">
      <c r="B974" s="13"/>
      <c r="D974" s="16"/>
      <c r="E974" s="16"/>
      <c r="F974" s="19"/>
      <c r="G974" s="20"/>
      <c r="H974" s="24"/>
      <c r="I974" s="25"/>
    </row>
    <row r="975" ht="15.75" customHeight="1">
      <c r="B975" s="13"/>
      <c r="D975" s="16"/>
      <c r="E975" s="16"/>
      <c r="F975" s="19"/>
      <c r="G975" s="20"/>
      <c r="H975" s="24"/>
      <c r="I975" s="25"/>
    </row>
    <row r="976" ht="15.75" customHeight="1">
      <c r="B976" s="13"/>
      <c r="D976" s="16"/>
      <c r="E976" s="16"/>
      <c r="F976" s="19"/>
      <c r="G976" s="20"/>
      <c r="H976" s="24"/>
      <c r="I976" s="25"/>
    </row>
    <row r="977" ht="15.75" customHeight="1">
      <c r="B977" s="13"/>
      <c r="D977" s="16"/>
      <c r="E977" s="16"/>
      <c r="F977" s="19"/>
      <c r="G977" s="20"/>
      <c r="H977" s="24"/>
      <c r="I977" s="25"/>
    </row>
    <row r="978" ht="15.75" customHeight="1">
      <c r="B978" s="13"/>
      <c r="D978" s="16"/>
      <c r="E978" s="16"/>
      <c r="F978" s="19"/>
      <c r="G978" s="20"/>
      <c r="H978" s="24"/>
      <c r="I978" s="25"/>
    </row>
    <row r="979" ht="15.75" customHeight="1">
      <c r="B979" s="13"/>
      <c r="D979" s="16"/>
      <c r="E979" s="16"/>
      <c r="F979" s="19"/>
      <c r="G979" s="20"/>
      <c r="H979" s="24"/>
      <c r="I979" s="25"/>
    </row>
    <row r="980" ht="15.75" customHeight="1">
      <c r="B980" s="13"/>
      <c r="D980" s="16"/>
      <c r="E980" s="16"/>
      <c r="F980" s="19"/>
      <c r="G980" s="20"/>
      <c r="H980" s="24"/>
      <c r="I980" s="25"/>
    </row>
    <row r="981" ht="15.75" customHeight="1">
      <c r="B981" s="13"/>
      <c r="D981" s="16"/>
      <c r="E981" s="16"/>
      <c r="F981" s="19"/>
      <c r="G981" s="20"/>
      <c r="H981" s="24"/>
      <c r="I981" s="25"/>
    </row>
    <row r="982" ht="15.75" customHeight="1">
      <c r="B982" s="13"/>
      <c r="D982" s="16"/>
      <c r="E982" s="16"/>
      <c r="F982" s="19"/>
      <c r="G982" s="20"/>
      <c r="H982" s="24"/>
      <c r="I982" s="25"/>
    </row>
    <row r="983" ht="15.75" customHeight="1">
      <c r="B983" s="13"/>
      <c r="D983" s="16"/>
      <c r="E983" s="16"/>
      <c r="F983" s="19"/>
      <c r="G983" s="20"/>
      <c r="H983" s="24"/>
      <c r="I983" s="25"/>
    </row>
    <row r="984" ht="15.75" customHeight="1">
      <c r="B984" s="13"/>
      <c r="D984" s="16"/>
      <c r="E984" s="16"/>
      <c r="F984" s="19"/>
      <c r="G984" s="20"/>
      <c r="H984" s="24"/>
      <c r="I984" s="25"/>
    </row>
    <row r="985" ht="15.75" customHeight="1">
      <c r="B985" s="13"/>
      <c r="D985" s="16"/>
      <c r="E985" s="16"/>
      <c r="F985" s="19"/>
      <c r="G985" s="20"/>
      <c r="H985" s="24"/>
      <c r="I985" s="25"/>
    </row>
    <row r="986" ht="15.75" customHeight="1">
      <c r="B986" s="13"/>
      <c r="D986" s="16"/>
      <c r="E986" s="16"/>
      <c r="F986" s="19"/>
      <c r="G986" s="20"/>
      <c r="H986" s="24"/>
      <c r="I986" s="25"/>
    </row>
    <row r="987" ht="15.75" customHeight="1">
      <c r="B987" s="13"/>
      <c r="D987" s="16"/>
      <c r="E987" s="16"/>
      <c r="F987" s="19"/>
      <c r="G987" s="20"/>
      <c r="H987" s="24"/>
      <c r="I987" s="25"/>
    </row>
    <row r="988" ht="15.75" customHeight="1">
      <c r="B988" s="13"/>
      <c r="D988" s="16"/>
      <c r="E988" s="16"/>
      <c r="F988" s="19"/>
      <c r="G988" s="20"/>
      <c r="H988" s="24"/>
      <c r="I988" s="25"/>
    </row>
    <row r="989" ht="15.75" customHeight="1">
      <c r="B989" s="13"/>
      <c r="D989" s="16"/>
      <c r="E989" s="16"/>
      <c r="F989" s="19"/>
      <c r="G989" s="20"/>
      <c r="H989" s="24"/>
      <c r="I989" s="25"/>
    </row>
    <row r="990" ht="15.75" customHeight="1">
      <c r="B990" s="13"/>
      <c r="D990" s="16"/>
      <c r="E990" s="16"/>
      <c r="F990" s="19"/>
      <c r="G990" s="20"/>
      <c r="H990" s="24"/>
      <c r="I990" s="25"/>
    </row>
    <row r="991" ht="15.75" customHeight="1">
      <c r="B991" s="13"/>
      <c r="D991" s="16"/>
      <c r="E991" s="16"/>
      <c r="F991" s="19"/>
      <c r="G991" s="20"/>
      <c r="H991" s="24"/>
      <c r="I991" s="25"/>
    </row>
    <row r="992" ht="15.75" customHeight="1">
      <c r="B992" s="13"/>
      <c r="D992" s="16"/>
      <c r="E992" s="16"/>
      <c r="F992" s="19"/>
      <c r="G992" s="20"/>
      <c r="H992" s="24"/>
      <c r="I992" s="25"/>
    </row>
    <row r="993" ht="15.75" customHeight="1">
      <c r="B993" s="13"/>
      <c r="D993" s="16"/>
      <c r="E993" s="16"/>
      <c r="F993" s="19"/>
      <c r="G993" s="20"/>
      <c r="H993" s="24"/>
      <c r="I993" s="25"/>
    </row>
    <row r="994" ht="15.75" customHeight="1">
      <c r="B994" s="13"/>
      <c r="D994" s="16"/>
      <c r="E994" s="16"/>
      <c r="F994" s="19"/>
      <c r="G994" s="20"/>
      <c r="H994" s="24"/>
      <c r="I994" s="25"/>
    </row>
    <row r="995" ht="15.75" customHeight="1">
      <c r="B995" s="13"/>
      <c r="D995" s="16"/>
      <c r="E995" s="16"/>
      <c r="F995" s="19"/>
      <c r="G995" s="20"/>
      <c r="H995" s="24"/>
      <c r="I995" s="25"/>
    </row>
    <row r="996" ht="15.75" customHeight="1">
      <c r="B996" s="13"/>
      <c r="D996" s="16"/>
      <c r="E996" s="16"/>
      <c r="F996" s="19"/>
      <c r="G996" s="20"/>
      <c r="H996" s="24"/>
      <c r="I996" s="25"/>
    </row>
    <row r="997" ht="15.75" customHeight="1">
      <c r="B997" s="13"/>
      <c r="D997" s="16"/>
      <c r="E997" s="16"/>
      <c r="F997" s="19"/>
      <c r="G997" s="20"/>
      <c r="H997" s="24"/>
      <c r="I997" s="25"/>
    </row>
    <row r="998" ht="15.75" customHeight="1">
      <c r="B998" s="13"/>
      <c r="D998" s="16"/>
      <c r="E998" s="16"/>
      <c r="F998" s="19"/>
      <c r="G998" s="20"/>
      <c r="H998" s="24"/>
      <c r="I998" s="25"/>
    </row>
    <row r="999" ht="15.75" customHeight="1">
      <c r="B999" s="13"/>
      <c r="D999" s="16"/>
      <c r="E999" s="16"/>
      <c r="F999" s="19"/>
      <c r="G999" s="20"/>
      <c r="H999" s="24"/>
      <c r="I999" s="25"/>
    </row>
    <row r="1000" ht="15.75" customHeight="1">
      <c r="B1000" s="13"/>
      <c r="D1000" s="16"/>
      <c r="E1000" s="16"/>
      <c r="F1000" s="19"/>
      <c r="G1000" s="20"/>
      <c r="H1000" s="24"/>
      <c r="I1000" s="2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8.71"/>
    <col customWidth="1" min="3" max="3" width="15.71"/>
    <col customWidth="1" min="4" max="4" width="12.71"/>
    <col customWidth="1" min="5" max="5" width="14.86"/>
    <col customWidth="1" min="6" max="6" width="15.71"/>
    <col customWidth="1" min="7" max="7" width="15.0"/>
    <col customWidth="1" min="8" max="8" width="18.43"/>
    <col customWidth="1" min="9" max="9" width="15.43"/>
    <col customWidth="1" min="10" max="10" width="14.57"/>
    <col customWidth="1" min="11" max="11" width="8.71"/>
    <col customWidth="1" min="12" max="13" width="18.71"/>
    <col customWidth="1" min="14" max="14" width="8.71"/>
    <col customWidth="1" min="15" max="15" width="20.0"/>
    <col customWidth="1" min="16" max="18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L1" s="9" t="s">
        <v>10</v>
      </c>
      <c r="M1" s="10" t="s">
        <v>11</v>
      </c>
      <c r="O1" s="11" t="s">
        <v>12</v>
      </c>
    </row>
    <row r="2">
      <c r="A2" s="12">
        <v>1.25</v>
      </c>
      <c r="B2" s="13">
        <v>1.0</v>
      </c>
      <c r="C2" s="22">
        <v>0.5</v>
      </c>
      <c r="D2" s="15">
        <v>100.0</v>
      </c>
      <c r="E2" s="16" t="str">
        <f t="shared" ref="E2:E100" si="1">TEXT((D2/C2)/86400, "[h]"" h ""mm"" min ""ss"" s""")
</f>
        <v>0 h 03 min 20 s</v>
      </c>
      <c r="F2" s="17">
        <v>50.0</v>
      </c>
      <c r="G2" s="18">
        <v>40.0</v>
      </c>
      <c r="H2" s="19" t="str">
        <f t="shared" ref="H2:H100" si="3">TEXT((F2/C2)/86400, "[h]"" h ""mm"" min ""ss"" s""")
</f>
        <v>0 h 01 min 40 s</v>
      </c>
      <c r="I2" s="20" t="str">
        <f t="shared" ref="I2:I100" si="4">TEXT((G2/C2)/86400, "[h]"" h ""mm"" min ""ss"" s""")
</f>
        <v>0 h 01 min 20 s</v>
      </c>
      <c r="J2" s="14" t="str">
        <f t="shared" ref="J2:J31" si="5">TEXT((M2)/86400, "[h]"" h ""mm"" min ""ss"" s""")</f>
        <v>0 h 01 min 40 s</v>
      </c>
      <c r="L2" s="21">
        <f t="shared" ref="L2:L100" si="6">F2/C2</f>
        <v>100</v>
      </c>
      <c r="M2" s="21">
        <f>L2</f>
        <v>100</v>
      </c>
      <c r="O2" s="22">
        <v>3.0</v>
      </c>
    </row>
    <row r="3">
      <c r="B3" s="13">
        <v>2.0</v>
      </c>
      <c r="C3" s="16">
        <f t="shared" ref="C3:C100" si="7">C2*$A$2</f>
        <v>0.625</v>
      </c>
      <c r="D3" s="16">
        <f t="shared" ref="D3:D100" si="8">D2*$A$5</f>
        <v>130</v>
      </c>
      <c r="E3" s="16" t="str">
        <f t="shared" si="1"/>
        <v>0 h 03 min 28 s</v>
      </c>
      <c r="F3" s="19">
        <f t="shared" ref="F3:G3" si="2">F2*$A$8</f>
        <v>75</v>
      </c>
      <c r="G3" s="20">
        <f t="shared" si="2"/>
        <v>60</v>
      </c>
      <c r="H3" s="19" t="str">
        <f t="shared" si="3"/>
        <v>0 h 02 min 00 s</v>
      </c>
      <c r="I3" s="20" t="str">
        <f t="shared" si="4"/>
        <v>0 h 01 min 36 s</v>
      </c>
      <c r="J3" s="14" t="str">
        <f t="shared" si="5"/>
        <v>0 h 03 min 40 s</v>
      </c>
      <c r="L3" s="21">
        <f t="shared" si="6"/>
        <v>120</v>
      </c>
      <c r="M3" s="21">
        <f t="shared" ref="M3:M100" si="10">M2+L3</f>
        <v>220</v>
      </c>
      <c r="O3" s="23">
        <f t="shared" ref="O3:O100" si="11">O2*A$11</f>
        <v>4.5</v>
      </c>
    </row>
    <row r="4">
      <c r="A4" s="1" t="s">
        <v>13</v>
      </c>
      <c r="B4" s="13">
        <v>3.0</v>
      </c>
      <c r="C4" s="16">
        <f t="shared" si="7"/>
        <v>0.78125</v>
      </c>
      <c r="D4" s="16">
        <f t="shared" si="8"/>
        <v>169</v>
      </c>
      <c r="E4" s="16" t="str">
        <f t="shared" si="1"/>
        <v>0 h 03 min 36 s</v>
      </c>
      <c r="F4" s="19">
        <f t="shared" ref="F4:G4" si="9">F3*$A$8</f>
        <v>112.5</v>
      </c>
      <c r="G4" s="20">
        <f t="shared" si="9"/>
        <v>90</v>
      </c>
      <c r="H4" s="19" t="str">
        <f t="shared" si="3"/>
        <v>0 h 02 min 24 s</v>
      </c>
      <c r="I4" s="20" t="str">
        <f t="shared" si="4"/>
        <v>0 h 01 min 55 s</v>
      </c>
      <c r="J4" s="14" t="str">
        <f t="shared" si="5"/>
        <v>0 h 06 min 04 s</v>
      </c>
      <c r="L4" s="21">
        <f t="shared" si="6"/>
        <v>144</v>
      </c>
      <c r="M4" s="21">
        <f t="shared" si="10"/>
        <v>364</v>
      </c>
      <c r="O4" s="23">
        <f t="shared" si="11"/>
        <v>6.75</v>
      </c>
    </row>
    <row r="5">
      <c r="A5" s="12">
        <v>1.3</v>
      </c>
      <c r="B5" s="13">
        <v>4.0</v>
      </c>
      <c r="C5" s="16">
        <f t="shared" si="7"/>
        <v>0.9765625</v>
      </c>
      <c r="D5" s="16">
        <f t="shared" si="8"/>
        <v>219.7</v>
      </c>
      <c r="E5" s="16" t="str">
        <f t="shared" si="1"/>
        <v>0 h 03 min 45 s</v>
      </c>
      <c r="F5" s="19">
        <f t="shared" ref="F5:G5" si="12">F4*$A$8</f>
        <v>168.75</v>
      </c>
      <c r="G5" s="20">
        <f t="shared" si="12"/>
        <v>135</v>
      </c>
      <c r="H5" s="19" t="str">
        <f t="shared" si="3"/>
        <v>0 h 02 min 53 s</v>
      </c>
      <c r="I5" s="20" t="str">
        <f t="shared" si="4"/>
        <v>0 h 02 min 18 s</v>
      </c>
      <c r="J5" s="14" t="str">
        <f t="shared" si="5"/>
        <v>0 h 08 min 57 s</v>
      </c>
      <c r="L5" s="21">
        <f t="shared" si="6"/>
        <v>172.8</v>
      </c>
      <c r="M5" s="21">
        <f t="shared" si="10"/>
        <v>536.8</v>
      </c>
      <c r="O5" s="23">
        <f t="shared" si="11"/>
        <v>10.125</v>
      </c>
    </row>
    <row r="6">
      <c r="B6" s="13">
        <v>5.0</v>
      </c>
      <c r="C6" s="16">
        <f t="shared" si="7"/>
        <v>1.220703125</v>
      </c>
      <c r="D6" s="16">
        <f t="shared" si="8"/>
        <v>285.61</v>
      </c>
      <c r="E6" s="16" t="str">
        <f t="shared" si="1"/>
        <v>0 h 03 min 54 s</v>
      </c>
      <c r="F6" s="19">
        <f t="shared" ref="F6:G6" si="13">F5*$A$8</f>
        <v>253.125</v>
      </c>
      <c r="G6" s="20">
        <f t="shared" si="13"/>
        <v>202.5</v>
      </c>
      <c r="H6" s="19" t="str">
        <f t="shared" si="3"/>
        <v>0 h 03 min 27 s</v>
      </c>
      <c r="I6" s="20" t="str">
        <f t="shared" si="4"/>
        <v>0 h 02 min 46 s</v>
      </c>
      <c r="J6" s="14" t="str">
        <f t="shared" si="5"/>
        <v>0 h 12 min 24 s</v>
      </c>
      <c r="L6" s="21">
        <f t="shared" si="6"/>
        <v>207.36</v>
      </c>
      <c r="M6" s="21">
        <f t="shared" si="10"/>
        <v>744.16</v>
      </c>
      <c r="O6" s="23">
        <f t="shared" si="11"/>
        <v>15.1875</v>
      </c>
    </row>
    <row r="7">
      <c r="A7" s="1" t="s">
        <v>14</v>
      </c>
      <c r="B7" s="13">
        <v>6.0</v>
      </c>
      <c r="C7" s="16">
        <f t="shared" si="7"/>
        <v>1.525878906</v>
      </c>
      <c r="D7" s="16">
        <f t="shared" si="8"/>
        <v>371.293</v>
      </c>
      <c r="E7" s="16" t="str">
        <f t="shared" si="1"/>
        <v>0 h 04 min 03 s</v>
      </c>
      <c r="F7" s="19">
        <f t="shared" ref="F7:G7" si="14">F6*$A$8</f>
        <v>379.6875</v>
      </c>
      <c r="G7" s="20">
        <f t="shared" si="14"/>
        <v>303.75</v>
      </c>
      <c r="H7" s="19" t="str">
        <f t="shared" si="3"/>
        <v>0 h 04 min 09 s</v>
      </c>
      <c r="I7" s="20" t="str">
        <f t="shared" si="4"/>
        <v>0 h 03 min 19 s</v>
      </c>
      <c r="J7" s="14" t="str">
        <f t="shared" si="5"/>
        <v>0 h 16 min 33 s</v>
      </c>
      <c r="L7" s="21">
        <f t="shared" si="6"/>
        <v>248.832</v>
      </c>
      <c r="M7" s="21">
        <f t="shared" si="10"/>
        <v>992.992</v>
      </c>
      <c r="O7" s="23">
        <f t="shared" si="11"/>
        <v>22.78125</v>
      </c>
    </row>
    <row r="8">
      <c r="A8" s="12">
        <v>1.5</v>
      </c>
      <c r="B8" s="13">
        <v>7.0</v>
      </c>
      <c r="C8" s="16">
        <f t="shared" si="7"/>
        <v>1.907348633</v>
      </c>
      <c r="D8" s="16">
        <f t="shared" si="8"/>
        <v>482.6809</v>
      </c>
      <c r="E8" s="16" t="str">
        <f t="shared" si="1"/>
        <v>0 h 04 min 13 s</v>
      </c>
      <c r="F8" s="19">
        <f t="shared" ref="F8:G8" si="15">F7*$A$8</f>
        <v>569.53125</v>
      </c>
      <c r="G8" s="20">
        <f t="shared" si="15"/>
        <v>455.625</v>
      </c>
      <c r="H8" s="19" t="str">
        <f t="shared" si="3"/>
        <v>0 h 04 min 59 s</v>
      </c>
      <c r="I8" s="20" t="str">
        <f t="shared" si="4"/>
        <v>0 h 03 min 59 s</v>
      </c>
      <c r="J8" s="14" t="str">
        <f t="shared" si="5"/>
        <v>0 h 21 min 32 s</v>
      </c>
      <c r="L8" s="21">
        <f t="shared" si="6"/>
        <v>298.5984</v>
      </c>
      <c r="M8" s="21">
        <f t="shared" si="10"/>
        <v>1291.5904</v>
      </c>
      <c r="O8" s="23">
        <f t="shared" si="11"/>
        <v>34.171875</v>
      </c>
    </row>
    <row r="9">
      <c r="B9" s="13">
        <v>8.0</v>
      </c>
      <c r="C9" s="16">
        <f t="shared" si="7"/>
        <v>2.384185791</v>
      </c>
      <c r="D9" s="16">
        <f t="shared" si="8"/>
        <v>627.48517</v>
      </c>
      <c r="E9" s="16" t="str">
        <f t="shared" si="1"/>
        <v>0 h 04 min 23 s</v>
      </c>
      <c r="F9" s="19">
        <f t="shared" ref="F9:G9" si="16">F8*$A$8</f>
        <v>854.296875</v>
      </c>
      <c r="G9" s="20">
        <f t="shared" si="16"/>
        <v>683.4375</v>
      </c>
      <c r="H9" s="19" t="str">
        <f t="shared" si="3"/>
        <v>0 h 05 min 58 s</v>
      </c>
      <c r="I9" s="20" t="str">
        <f t="shared" si="4"/>
        <v>0 h 04 min 47 s</v>
      </c>
      <c r="J9" s="14" t="str">
        <f t="shared" si="5"/>
        <v>0 h 27 min 30 s</v>
      </c>
      <c r="L9" s="21">
        <f t="shared" si="6"/>
        <v>358.31808</v>
      </c>
      <c r="M9" s="21">
        <f t="shared" si="10"/>
        <v>1649.90848</v>
      </c>
      <c r="O9" s="23">
        <f t="shared" si="11"/>
        <v>51.2578125</v>
      </c>
    </row>
    <row r="10">
      <c r="A10" s="1" t="s">
        <v>15</v>
      </c>
      <c r="B10" s="13">
        <v>9.0</v>
      </c>
      <c r="C10" s="16">
        <f t="shared" si="7"/>
        <v>2.980232239</v>
      </c>
      <c r="D10" s="16">
        <f t="shared" si="8"/>
        <v>815.730721</v>
      </c>
      <c r="E10" s="16" t="str">
        <f t="shared" si="1"/>
        <v>0 h 04 min 34 s</v>
      </c>
      <c r="F10" s="19">
        <f t="shared" ref="F10:G10" si="17">F9*$A$8</f>
        <v>1281.445313</v>
      </c>
      <c r="G10" s="20">
        <f t="shared" si="17"/>
        <v>1025.15625</v>
      </c>
      <c r="H10" s="19" t="str">
        <f t="shared" si="3"/>
        <v>0 h 07 min 10 s</v>
      </c>
      <c r="I10" s="20" t="str">
        <f t="shared" si="4"/>
        <v>0 h 05 min 44 s</v>
      </c>
      <c r="J10" s="14" t="str">
        <f t="shared" si="5"/>
        <v>0 h 34 min 40 s</v>
      </c>
      <c r="L10" s="21">
        <f t="shared" si="6"/>
        <v>429.981696</v>
      </c>
      <c r="M10" s="21">
        <f t="shared" si="10"/>
        <v>2079.890176</v>
      </c>
      <c r="O10" s="23">
        <f t="shared" si="11"/>
        <v>76.88671875</v>
      </c>
    </row>
    <row r="11">
      <c r="A11" s="12">
        <v>1.5</v>
      </c>
      <c r="B11" s="13">
        <v>10.0</v>
      </c>
      <c r="C11" s="16">
        <f t="shared" si="7"/>
        <v>3.725290298</v>
      </c>
      <c r="D11" s="16">
        <f t="shared" si="8"/>
        <v>1060.449937</v>
      </c>
      <c r="E11" s="16" t="str">
        <f t="shared" si="1"/>
        <v>0 h 04 min 45 s</v>
      </c>
      <c r="F11" s="19">
        <f t="shared" ref="F11:G11" si="18">F10*$A$8</f>
        <v>1922.167969</v>
      </c>
      <c r="G11" s="20">
        <f t="shared" si="18"/>
        <v>1537.734375</v>
      </c>
      <c r="H11" s="19" t="str">
        <f t="shared" si="3"/>
        <v>0 h 08 min 36 s</v>
      </c>
      <c r="I11" s="20" t="str">
        <f t="shared" si="4"/>
        <v>0 h 06 min 53 s</v>
      </c>
      <c r="J11" s="14" t="str">
        <f t="shared" si="5"/>
        <v>0 h 43 min 16 s</v>
      </c>
      <c r="L11" s="21">
        <f t="shared" si="6"/>
        <v>515.9780352</v>
      </c>
      <c r="M11" s="21">
        <f t="shared" si="10"/>
        <v>2595.868211</v>
      </c>
      <c r="O11" s="23">
        <f t="shared" si="11"/>
        <v>115.3300781</v>
      </c>
    </row>
    <row r="12">
      <c r="B12" s="13">
        <v>11.0</v>
      </c>
      <c r="C12" s="16">
        <f t="shared" si="7"/>
        <v>4.656612873</v>
      </c>
      <c r="D12" s="16">
        <f t="shared" si="8"/>
        <v>1378.584918</v>
      </c>
      <c r="E12" s="16" t="str">
        <f t="shared" si="1"/>
        <v>0 h 04 min 56 s</v>
      </c>
      <c r="F12" s="19">
        <f t="shared" ref="F12:G12" si="19">F11*$A$8</f>
        <v>2883.251953</v>
      </c>
      <c r="G12" s="20">
        <f t="shared" si="19"/>
        <v>2306.601563</v>
      </c>
      <c r="H12" s="19" t="str">
        <f t="shared" si="3"/>
        <v>0 h 10 min 19 s</v>
      </c>
      <c r="I12" s="20" t="str">
        <f t="shared" si="4"/>
        <v>0 h 08 min 15 s</v>
      </c>
      <c r="J12" s="14" t="str">
        <f t="shared" si="5"/>
        <v>0 h 53 min 35 s</v>
      </c>
      <c r="L12" s="21">
        <f t="shared" si="6"/>
        <v>619.1736422</v>
      </c>
      <c r="M12" s="21">
        <f t="shared" si="10"/>
        <v>3215.041853</v>
      </c>
      <c r="O12" s="23">
        <f t="shared" si="11"/>
        <v>172.9951172</v>
      </c>
    </row>
    <row r="13">
      <c r="B13" s="13">
        <v>12.0</v>
      </c>
      <c r="C13" s="16">
        <f t="shared" si="7"/>
        <v>5.820766091</v>
      </c>
      <c r="D13" s="16">
        <f t="shared" si="8"/>
        <v>1792.160394</v>
      </c>
      <c r="E13" s="16" t="str">
        <f t="shared" si="1"/>
        <v>0 h 05 min 08 s</v>
      </c>
      <c r="F13" s="19">
        <f t="shared" ref="F13:G13" si="20">F12*$A$8</f>
        <v>4324.87793</v>
      </c>
      <c r="G13" s="20">
        <f t="shared" si="20"/>
        <v>3459.902344</v>
      </c>
      <c r="H13" s="19" t="str">
        <f t="shared" si="3"/>
        <v>0 h 12 min 23 s</v>
      </c>
      <c r="I13" s="20" t="str">
        <f t="shared" si="4"/>
        <v>0 h 09 min 54 s</v>
      </c>
      <c r="J13" s="14" t="str">
        <f t="shared" si="5"/>
        <v>1 h 05 min 58 s</v>
      </c>
      <c r="L13" s="21">
        <f t="shared" si="6"/>
        <v>743.0083707</v>
      </c>
      <c r="M13" s="21">
        <f t="shared" si="10"/>
        <v>3958.050224</v>
      </c>
      <c r="O13" s="23">
        <f t="shared" si="11"/>
        <v>259.4926758</v>
      </c>
    </row>
    <row r="14">
      <c r="B14" s="13">
        <v>13.0</v>
      </c>
      <c r="C14" s="16">
        <f t="shared" si="7"/>
        <v>7.275957614</v>
      </c>
      <c r="D14" s="16">
        <f t="shared" si="8"/>
        <v>2329.808512</v>
      </c>
      <c r="E14" s="16" t="str">
        <f t="shared" si="1"/>
        <v>0 h 05 min 20 s</v>
      </c>
      <c r="F14" s="19">
        <f t="shared" ref="F14:G14" si="21">F13*$A$8</f>
        <v>6487.316895</v>
      </c>
      <c r="G14" s="20">
        <f t="shared" si="21"/>
        <v>5189.853516</v>
      </c>
      <c r="H14" s="19" t="str">
        <f t="shared" si="3"/>
        <v>0 h 14 min 52 s</v>
      </c>
      <c r="I14" s="20" t="str">
        <f t="shared" si="4"/>
        <v>0 h 11 min 53 s</v>
      </c>
      <c r="J14" s="14" t="str">
        <f t="shared" si="5"/>
        <v>1 h 20 min 50 s</v>
      </c>
      <c r="L14" s="21">
        <f t="shared" si="6"/>
        <v>891.6100448</v>
      </c>
      <c r="M14" s="21">
        <f t="shared" si="10"/>
        <v>4849.660269</v>
      </c>
      <c r="O14" s="23">
        <f t="shared" si="11"/>
        <v>389.2390137</v>
      </c>
    </row>
    <row r="15">
      <c r="B15" s="13">
        <v>14.0</v>
      </c>
      <c r="C15" s="16">
        <f t="shared" si="7"/>
        <v>9.094947018</v>
      </c>
      <c r="D15" s="16">
        <f t="shared" si="8"/>
        <v>3028.751066</v>
      </c>
      <c r="E15" s="16" t="str">
        <f t="shared" si="1"/>
        <v>0 h 05 min 33 s</v>
      </c>
      <c r="F15" s="19">
        <f t="shared" ref="F15:G15" si="22">F14*$A$8</f>
        <v>9730.975342</v>
      </c>
      <c r="G15" s="20">
        <f t="shared" si="22"/>
        <v>7784.780273</v>
      </c>
      <c r="H15" s="19" t="str">
        <f t="shared" si="3"/>
        <v>0 h 17 min 50 s</v>
      </c>
      <c r="I15" s="20" t="str">
        <f t="shared" si="4"/>
        <v>0 h 14 min 16 s</v>
      </c>
      <c r="J15" s="14" t="str">
        <f t="shared" si="5"/>
        <v>1 h 38 min 40 s</v>
      </c>
      <c r="L15" s="21">
        <f t="shared" si="6"/>
        <v>1069.932054</v>
      </c>
      <c r="M15" s="21">
        <f t="shared" si="10"/>
        <v>5919.592323</v>
      </c>
      <c r="O15" s="23">
        <f t="shared" si="11"/>
        <v>583.8585205</v>
      </c>
    </row>
    <row r="16">
      <c r="B16" s="13">
        <v>15.0</v>
      </c>
      <c r="C16" s="16">
        <f t="shared" si="7"/>
        <v>11.36868377</v>
      </c>
      <c r="D16" s="16">
        <f t="shared" si="8"/>
        <v>3937.376386</v>
      </c>
      <c r="E16" s="16" t="str">
        <f t="shared" si="1"/>
        <v>0 h 05 min 46 s</v>
      </c>
      <c r="F16" s="19">
        <f t="shared" ref="F16:G16" si="23">F15*$A$8</f>
        <v>14596.46301</v>
      </c>
      <c r="G16" s="20">
        <f t="shared" si="23"/>
        <v>11677.17041</v>
      </c>
      <c r="H16" s="19" t="str">
        <f t="shared" si="3"/>
        <v>0 h 21 min 24 s</v>
      </c>
      <c r="I16" s="20" t="str">
        <f t="shared" si="4"/>
        <v>0 h 17 min 07 s</v>
      </c>
      <c r="J16" s="14" t="str">
        <f t="shared" si="5"/>
        <v>2 h 00 min 04 s</v>
      </c>
      <c r="L16" s="21">
        <f t="shared" si="6"/>
        <v>1283.918465</v>
      </c>
      <c r="M16" s="21">
        <f t="shared" si="10"/>
        <v>7203.510787</v>
      </c>
      <c r="O16" s="23">
        <f t="shared" si="11"/>
        <v>875.7877808</v>
      </c>
    </row>
    <row r="17">
      <c r="B17" s="13">
        <v>16.0</v>
      </c>
      <c r="C17" s="16">
        <f t="shared" si="7"/>
        <v>14.21085472</v>
      </c>
      <c r="D17" s="16">
        <f t="shared" si="8"/>
        <v>5118.589301</v>
      </c>
      <c r="E17" s="16" t="str">
        <f t="shared" si="1"/>
        <v>0 h 06 min 00 s</v>
      </c>
      <c r="F17" s="19">
        <f t="shared" ref="F17:G17" si="24">F16*$A$8</f>
        <v>21894.69452</v>
      </c>
      <c r="G17" s="20">
        <f t="shared" si="24"/>
        <v>17515.75562</v>
      </c>
      <c r="H17" s="19" t="str">
        <f t="shared" si="3"/>
        <v>0 h 25 min 41 s</v>
      </c>
      <c r="I17" s="20" t="str">
        <f t="shared" si="4"/>
        <v>0 h 20 min 33 s</v>
      </c>
      <c r="J17" s="14" t="str">
        <f t="shared" si="5"/>
        <v>2 h 25 min 44 s</v>
      </c>
      <c r="L17" s="21">
        <f t="shared" si="6"/>
        <v>1540.702157</v>
      </c>
      <c r="M17" s="21">
        <f t="shared" si="10"/>
        <v>8744.212945</v>
      </c>
      <c r="O17" s="23">
        <f t="shared" si="11"/>
        <v>1313.681671</v>
      </c>
    </row>
    <row r="18">
      <c r="B18" s="13">
        <v>17.0</v>
      </c>
      <c r="C18" s="16">
        <f t="shared" si="7"/>
        <v>17.76356839</v>
      </c>
      <c r="D18" s="16">
        <f t="shared" si="8"/>
        <v>6654.166092</v>
      </c>
      <c r="E18" s="16" t="str">
        <f t="shared" si="1"/>
        <v>0 h 06 min 15 s</v>
      </c>
      <c r="F18" s="19">
        <f t="shared" ref="F18:G18" si="25">F17*$A$8</f>
        <v>32842.04178</v>
      </c>
      <c r="G18" s="20">
        <f t="shared" si="25"/>
        <v>26273.63342</v>
      </c>
      <c r="H18" s="19" t="str">
        <f t="shared" si="3"/>
        <v>0 h 30 min 49 s</v>
      </c>
      <c r="I18" s="20" t="str">
        <f t="shared" si="4"/>
        <v>0 h 24 min 39 s</v>
      </c>
      <c r="J18" s="14" t="str">
        <f t="shared" si="5"/>
        <v>2 h 56 min 33 s</v>
      </c>
      <c r="L18" s="21">
        <f t="shared" si="6"/>
        <v>1848.842589</v>
      </c>
      <c r="M18" s="21">
        <f t="shared" si="10"/>
        <v>10593.05553</v>
      </c>
      <c r="O18" s="23">
        <f t="shared" si="11"/>
        <v>1970.522507</v>
      </c>
    </row>
    <row r="19">
      <c r="B19" s="13">
        <v>18.0</v>
      </c>
      <c r="C19" s="16">
        <f t="shared" si="7"/>
        <v>22.20446049</v>
      </c>
      <c r="D19" s="16">
        <f t="shared" si="8"/>
        <v>8650.415919</v>
      </c>
      <c r="E19" s="16" t="str">
        <f t="shared" si="1"/>
        <v>0 h 06 min 30 s</v>
      </c>
      <c r="F19" s="19">
        <f t="shared" ref="F19:G19" si="26">F18*$A$8</f>
        <v>49263.06267</v>
      </c>
      <c r="G19" s="20">
        <f t="shared" si="26"/>
        <v>39410.45013</v>
      </c>
      <c r="H19" s="19" t="str">
        <f t="shared" si="3"/>
        <v>0 h 36 min 59 s</v>
      </c>
      <c r="I19" s="20" t="str">
        <f t="shared" si="4"/>
        <v>0 h 29 min 35 s</v>
      </c>
      <c r="J19" s="14" t="str">
        <f t="shared" si="5"/>
        <v>3 h 33 min 32 s</v>
      </c>
      <c r="L19" s="21">
        <f t="shared" si="6"/>
        <v>2218.611107</v>
      </c>
      <c r="M19" s="21">
        <f t="shared" si="10"/>
        <v>12811.66664</v>
      </c>
      <c r="O19" s="23">
        <f t="shared" si="11"/>
        <v>2955.78376</v>
      </c>
    </row>
    <row r="20">
      <c r="B20" s="13">
        <v>19.0</v>
      </c>
      <c r="C20" s="16">
        <f t="shared" si="7"/>
        <v>27.75557562</v>
      </c>
      <c r="D20" s="16">
        <f t="shared" si="8"/>
        <v>11245.5407</v>
      </c>
      <c r="E20" s="16" t="str">
        <f t="shared" si="1"/>
        <v>0 h 06 min 45 s</v>
      </c>
      <c r="F20" s="19">
        <f t="shared" ref="F20:G20" si="27">F19*$A$8</f>
        <v>73894.594</v>
      </c>
      <c r="G20" s="20">
        <f t="shared" si="27"/>
        <v>59115.6752</v>
      </c>
      <c r="H20" s="19" t="str">
        <f t="shared" si="3"/>
        <v>0 h 44 min 22 s</v>
      </c>
      <c r="I20" s="20" t="str">
        <f t="shared" si="4"/>
        <v>0 h 35 min 30 s</v>
      </c>
      <c r="J20" s="14" t="str">
        <f t="shared" si="5"/>
        <v>4 h 17 min 54 s</v>
      </c>
      <c r="L20" s="21">
        <f t="shared" si="6"/>
        <v>2662.333328</v>
      </c>
      <c r="M20" s="21">
        <f t="shared" si="10"/>
        <v>15473.99997</v>
      </c>
      <c r="O20" s="23">
        <f t="shared" si="11"/>
        <v>4433.67564</v>
      </c>
    </row>
    <row r="21" ht="15.75" customHeight="1">
      <c r="B21" s="13">
        <v>20.0</v>
      </c>
      <c r="C21" s="16">
        <f t="shared" si="7"/>
        <v>34.69446952</v>
      </c>
      <c r="D21" s="16">
        <f t="shared" si="8"/>
        <v>14619.2029</v>
      </c>
      <c r="E21" s="16" t="str">
        <f t="shared" si="1"/>
        <v>0 h 07 min 01 s</v>
      </c>
      <c r="F21" s="19">
        <f t="shared" ref="F21:G21" si="28">F20*$A$8</f>
        <v>110841.891</v>
      </c>
      <c r="G21" s="20">
        <f t="shared" si="28"/>
        <v>88673.5128</v>
      </c>
      <c r="H21" s="19" t="str">
        <f t="shared" si="3"/>
        <v>0 h 53 min 15 s</v>
      </c>
      <c r="I21" s="20" t="str">
        <f t="shared" si="4"/>
        <v>0 h 42 min 36 s</v>
      </c>
      <c r="J21" s="14" t="str">
        <f t="shared" si="5"/>
        <v>5 h 11 min 09 s</v>
      </c>
      <c r="L21" s="21">
        <f t="shared" si="6"/>
        <v>3194.799994</v>
      </c>
      <c r="M21" s="21">
        <f t="shared" si="10"/>
        <v>18668.79996</v>
      </c>
      <c r="O21" s="23">
        <f t="shared" si="11"/>
        <v>6650.51346</v>
      </c>
    </row>
    <row r="22" ht="15.75" customHeight="1">
      <c r="B22" s="13">
        <v>21.0</v>
      </c>
      <c r="C22" s="16">
        <f t="shared" si="7"/>
        <v>43.3680869</v>
      </c>
      <c r="D22" s="16">
        <f t="shared" si="8"/>
        <v>19004.96377</v>
      </c>
      <c r="E22" s="16" t="str">
        <f t="shared" si="1"/>
        <v>0 h 07 min 18 s</v>
      </c>
      <c r="F22" s="19">
        <f t="shared" ref="F22:G22" si="29">F21*$A$8</f>
        <v>166262.8365</v>
      </c>
      <c r="G22" s="20">
        <f t="shared" si="29"/>
        <v>133010.2692</v>
      </c>
      <c r="H22" s="19" t="str">
        <f t="shared" si="3"/>
        <v>1 h 03 min 54 s</v>
      </c>
      <c r="I22" s="20" t="str">
        <f t="shared" si="4"/>
        <v>0 h 51 min 07 s</v>
      </c>
      <c r="J22" s="14" t="str">
        <f t="shared" si="5"/>
        <v>6 h 15 min 03 s</v>
      </c>
      <c r="L22" s="21">
        <f t="shared" si="6"/>
        <v>3833.759992</v>
      </c>
      <c r="M22" s="21">
        <f t="shared" si="10"/>
        <v>22502.55995</v>
      </c>
      <c r="O22" s="23">
        <f t="shared" si="11"/>
        <v>9975.77019</v>
      </c>
    </row>
    <row r="23" ht="15.75" customHeight="1">
      <c r="B23" s="13">
        <v>22.0</v>
      </c>
      <c r="C23" s="16">
        <f t="shared" si="7"/>
        <v>54.21010862</v>
      </c>
      <c r="D23" s="16">
        <f t="shared" si="8"/>
        <v>24706.45291</v>
      </c>
      <c r="E23" s="16" t="str">
        <f t="shared" si="1"/>
        <v>0 h 07 min 36 s</v>
      </c>
      <c r="F23" s="19">
        <f t="shared" ref="F23:G23" si="30">F22*$A$8</f>
        <v>249394.2548</v>
      </c>
      <c r="G23" s="20">
        <f t="shared" si="30"/>
        <v>199515.4038</v>
      </c>
      <c r="H23" s="19" t="str">
        <f t="shared" si="3"/>
        <v>1 h 16 min 41 s</v>
      </c>
      <c r="I23" s="20" t="str">
        <f t="shared" si="4"/>
        <v>1 h 01 min 20 s</v>
      </c>
      <c r="J23" s="14" t="str">
        <f t="shared" si="5"/>
        <v>7 h 31 min 43 s</v>
      </c>
      <c r="L23" s="21">
        <f t="shared" si="6"/>
        <v>4600.511991</v>
      </c>
      <c r="M23" s="21">
        <f t="shared" si="10"/>
        <v>27103.07195</v>
      </c>
      <c r="O23" s="23">
        <f t="shared" si="11"/>
        <v>14963.65529</v>
      </c>
    </row>
    <row r="24" ht="15.75" customHeight="1">
      <c r="B24" s="13">
        <v>23.0</v>
      </c>
      <c r="C24" s="16">
        <f t="shared" si="7"/>
        <v>67.76263578</v>
      </c>
      <c r="D24" s="16">
        <f t="shared" si="8"/>
        <v>32118.38878</v>
      </c>
      <c r="E24" s="16" t="str">
        <f t="shared" si="1"/>
        <v>0 h 07 min 54 s</v>
      </c>
      <c r="F24" s="19">
        <f t="shared" ref="F24:G24" si="31">F23*$A$8</f>
        <v>374091.3821</v>
      </c>
      <c r="G24" s="20">
        <f t="shared" si="31"/>
        <v>299273.1057</v>
      </c>
      <c r="H24" s="19" t="str">
        <f t="shared" si="3"/>
        <v>1 h 32 min 01 s</v>
      </c>
      <c r="I24" s="20" t="str">
        <f t="shared" si="4"/>
        <v>1 h 13 min 36 s</v>
      </c>
      <c r="J24" s="14" t="str">
        <f t="shared" si="5"/>
        <v>9 h 03 min 44 s</v>
      </c>
      <c r="L24" s="21">
        <f t="shared" si="6"/>
        <v>5520.614389</v>
      </c>
      <c r="M24" s="21">
        <f t="shared" si="10"/>
        <v>32623.68633</v>
      </c>
      <c r="O24" s="23">
        <f t="shared" si="11"/>
        <v>22445.48293</v>
      </c>
    </row>
    <row r="25" ht="15.75" customHeight="1">
      <c r="B25" s="13">
        <v>24.0</v>
      </c>
      <c r="C25" s="16">
        <f t="shared" si="7"/>
        <v>84.70329473</v>
      </c>
      <c r="D25" s="16">
        <f t="shared" si="8"/>
        <v>41753.90541</v>
      </c>
      <c r="E25" s="16" t="str">
        <f t="shared" si="1"/>
        <v>0 h 08 min 13 s</v>
      </c>
      <c r="F25" s="19">
        <f t="shared" ref="F25:G25" si="32">F24*$A$8</f>
        <v>561137.0732</v>
      </c>
      <c r="G25" s="20">
        <f t="shared" si="32"/>
        <v>448909.6586</v>
      </c>
      <c r="H25" s="19" t="str">
        <f t="shared" si="3"/>
        <v>1 h 50 min 25 s</v>
      </c>
      <c r="I25" s="20" t="str">
        <f t="shared" si="4"/>
        <v>1 h 28 min 20 s</v>
      </c>
      <c r="J25" s="14" t="str">
        <f t="shared" si="5"/>
        <v>10 h 54 min 08 s</v>
      </c>
      <c r="L25" s="21">
        <f t="shared" si="6"/>
        <v>6624.737267</v>
      </c>
      <c r="M25" s="21">
        <f t="shared" si="10"/>
        <v>39248.4236</v>
      </c>
      <c r="O25" s="23">
        <f t="shared" si="11"/>
        <v>33668.22439</v>
      </c>
    </row>
    <row r="26" ht="15.75" customHeight="1">
      <c r="B26" s="13">
        <v>25.0</v>
      </c>
      <c r="C26" s="16">
        <f t="shared" si="7"/>
        <v>105.8791184</v>
      </c>
      <c r="D26" s="16">
        <f t="shared" si="8"/>
        <v>54280.07704</v>
      </c>
      <c r="E26" s="16" t="str">
        <f t="shared" si="1"/>
        <v>0 h 08 min 33 s</v>
      </c>
      <c r="F26" s="19">
        <f t="shared" ref="F26:G26" si="33">F25*$A$8</f>
        <v>841705.6098</v>
      </c>
      <c r="G26" s="20">
        <f t="shared" si="33"/>
        <v>673364.4878</v>
      </c>
      <c r="H26" s="19" t="str">
        <f t="shared" si="3"/>
        <v>2 h 12 min 30 s</v>
      </c>
      <c r="I26" s="20" t="str">
        <f t="shared" si="4"/>
        <v>1 h 46 min 00 s</v>
      </c>
      <c r="J26" s="14" t="str">
        <f t="shared" si="5"/>
        <v>13 h 06 min 38 s</v>
      </c>
      <c r="L26" s="21">
        <f t="shared" si="6"/>
        <v>7949.68472</v>
      </c>
      <c r="M26" s="21">
        <f t="shared" si="10"/>
        <v>47198.10832</v>
      </c>
      <c r="O26" s="23">
        <f t="shared" si="11"/>
        <v>50502.33659</v>
      </c>
    </row>
    <row r="27" ht="15.75" customHeight="1">
      <c r="B27" s="13">
        <v>26.0</v>
      </c>
      <c r="C27" s="16">
        <f t="shared" si="7"/>
        <v>132.348898</v>
      </c>
      <c r="D27" s="16">
        <f t="shared" si="8"/>
        <v>70564.10015</v>
      </c>
      <c r="E27" s="16" t="str">
        <f t="shared" si="1"/>
        <v>0 h 08 min 53 s</v>
      </c>
      <c r="F27" s="19">
        <f t="shared" ref="F27:G27" si="34">F26*$A$8</f>
        <v>1262558.415</v>
      </c>
      <c r="G27" s="20">
        <f t="shared" si="34"/>
        <v>1010046.732</v>
      </c>
      <c r="H27" s="19" t="str">
        <f t="shared" si="3"/>
        <v>2 h 39 min 00 s</v>
      </c>
      <c r="I27" s="20" t="str">
        <f t="shared" si="4"/>
        <v>2 h 07 min 12 s</v>
      </c>
      <c r="J27" s="14" t="str">
        <f t="shared" si="5"/>
        <v>15 h 45 min 38 s</v>
      </c>
      <c r="L27" s="21">
        <f t="shared" si="6"/>
        <v>9539.621664</v>
      </c>
      <c r="M27" s="21">
        <f t="shared" si="10"/>
        <v>56737.72999</v>
      </c>
      <c r="O27" s="23">
        <f t="shared" si="11"/>
        <v>75753.50488</v>
      </c>
    </row>
    <row r="28" ht="15.75" customHeight="1">
      <c r="B28" s="13">
        <v>27.0</v>
      </c>
      <c r="C28" s="16">
        <f t="shared" si="7"/>
        <v>165.4361225</v>
      </c>
      <c r="D28" s="16">
        <f t="shared" si="8"/>
        <v>91733.33019</v>
      </c>
      <c r="E28" s="16" t="str">
        <f t="shared" si="1"/>
        <v>0 h 09 min 14 s</v>
      </c>
      <c r="F28" s="19">
        <f t="shared" ref="F28:G28" si="35">F27*$A$8</f>
        <v>1893837.622</v>
      </c>
      <c r="G28" s="20">
        <f t="shared" si="35"/>
        <v>1515070.098</v>
      </c>
      <c r="H28" s="19" t="str">
        <f t="shared" si="3"/>
        <v>3 h 10 min 48 s</v>
      </c>
      <c r="I28" s="20" t="str">
        <f t="shared" si="4"/>
        <v>2 h 32 min 38 s</v>
      </c>
      <c r="J28" s="14" t="str">
        <f t="shared" si="5"/>
        <v>18 h 56 min 25 s</v>
      </c>
      <c r="L28" s="21">
        <f t="shared" si="6"/>
        <v>11447.546</v>
      </c>
      <c r="M28" s="21">
        <f t="shared" si="10"/>
        <v>68185.27598</v>
      </c>
      <c r="O28" s="23">
        <f t="shared" si="11"/>
        <v>113630.2573</v>
      </c>
    </row>
    <row r="29" ht="15.75" customHeight="1">
      <c r="B29" s="13">
        <v>28.0</v>
      </c>
      <c r="C29" s="16">
        <f t="shared" si="7"/>
        <v>206.7951531</v>
      </c>
      <c r="D29" s="16">
        <f t="shared" si="8"/>
        <v>119253.3293</v>
      </c>
      <c r="E29" s="16" t="str">
        <f t="shared" si="1"/>
        <v>0 h 09 min 37 s</v>
      </c>
      <c r="F29" s="19">
        <f t="shared" ref="F29:G29" si="36">F28*$A$8</f>
        <v>2840756.433</v>
      </c>
      <c r="G29" s="20">
        <f t="shared" si="36"/>
        <v>2272605.146</v>
      </c>
      <c r="H29" s="19" t="str">
        <f t="shared" si="3"/>
        <v>3 h 48 min 57 s</v>
      </c>
      <c r="I29" s="20" t="str">
        <f t="shared" si="4"/>
        <v>3 h 03 min 10 s</v>
      </c>
      <c r="J29" s="14" t="str">
        <f t="shared" si="5"/>
        <v>22 h 45 min 22 s</v>
      </c>
      <c r="L29" s="21">
        <f t="shared" si="6"/>
        <v>13737.0552</v>
      </c>
      <c r="M29" s="21">
        <f t="shared" si="10"/>
        <v>81922.33118</v>
      </c>
      <c r="O29" s="23">
        <f t="shared" si="11"/>
        <v>170445.386</v>
      </c>
    </row>
    <row r="30" ht="15.75" customHeight="1">
      <c r="B30" s="13">
        <v>29.0</v>
      </c>
      <c r="C30" s="16">
        <f t="shared" si="7"/>
        <v>258.4939414</v>
      </c>
      <c r="D30" s="16">
        <f t="shared" si="8"/>
        <v>155029.328</v>
      </c>
      <c r="E30" s="16" t="str">
        <f t="shared" si="1"/>
        <v>0 h 10 min 00 s</v>
      </c>
      <c r="F30" s="19">
        <f t="shared" ref="F30:G30" si="37">F29*$A$8</f>
        <v>4261134.65</v>
      </c>
      <c r="G30" s="20">
        <f t="shared" si="37"/>
        <v>3408907.72</v>
      </c>
      <c r="H30" s="19" t="str">
        <f t="shared" si="3"/>
        <v>4 h 34 min 44 s</v>
      </c>
      <c r="I30" s="20" t="str">
        <f t="shared" si="4"/>
        <v>3 h 39 min 48 s</v>
      </c>
      <c r="J30" s="14" t="str">
        <f t="shared" si="5"/>
        <v>27 h 20 min 07 s</v>
      </c>
      <c r="L30" s="21">
        <f t="shared" si="6"/>
        <v>16484.46624</v>
      </c>
      <c r="M30" s="21">
        <f t="shared" si="10"/>
        <v>98406.79742</v>
      </c>
      <c r="O30" s="23">
        <f t="shared" si="11"/>
        <v>255668.079</v>
      </c>
    </row>
    <row r="31" ht="15.75" customHeight="1">
      <c r="B31" s="13">
        <v>30.0</v>
      </c>
      <c r="C31" s="16">
        <f t="shared" si="7"/>
        <v>323.1174268</v>
      </c>
      <c r="D31" s="16">
        <f t="shared" si="8"/>
        <v>201538.1264</v>
      </c>
      <c r="E31" s="16" t="str">
        <f t="shared" si="1"/>
        <v>0 h 10 min 24 s</v>
      </c>
      <c r="F31" s="19">
        <f t="shared" ref="F31:G31" si="38">F30*$A$8</f>
        <v>6391701.974</v>
      </c>
      <c r="G31" s="20">
        <f t="shared" si="38"/>
        <v>5113361.58</v>
      </c>
      <c r="H31" s="19" t="str">
        <f t="shared" si="3"/>
        <v>5 h 29 min 41 s</v>
      </c>
      <c r="I31" s="20" t="str">
        <f t="shared" si="4"/>
        <v>4 h 23 min 45 s</v>
      </c>
      <c r="J31" s="14" t="str">
        <f t="shared" si="5"/>
        <v>32 h 49 min 48 s</v>
      </c>
      <c r="L31" s="21">
        <f t="shared" si="6"/>
        <v>19781.35948</v>
      </c>
      <c r="M31" s="21">
        <f t="shared" si="10"/>
        <v>118188.1569</v>
      </c>
      <c r="O31" s="23">
        <f t="shared" si="11"/>
        <v>383502.1185</v>
      </c>
    </row>
    <row r="32" ht="15.75" customHeight="1">
      <c r="B32" s="13">
        <v>31.0</v>
      </c>
      <c r="C32" s="16">
        <f t="shared" si="7"/>
        <v>403.8967835</v>
      </c>
      <c r="D32" s="16">
        <f t="shared" si="8"/>
        <v>261999.5644</v>
      </c>
      <c r="E32" s="16" t="str">
        <f t="shared" si="1"/>
        <v>0 h 10 min 49 s</v>
      </c>
      <c r="F32" s="19">
        <f t="shared" ref="F32:G32" si="39">F31*$A$8</f>
        <v>9587552.962</v>
      </c>
      <c r="G32" s="20">
        <f t="shared" si="39"/>
        <v>7670042.369</v>
      </c>
      <c r="H32" s="19" t="str">
        <f t="shared" si="3"/>
        <v>6 h 35 min 38 s</v>
      </c>
      <c r="I32" s="20" t="str">
        <f t="shared" si="4"/>
        <v>5 h 16 min 30 s</v>
      </c>
      <c r="J32" s="14" t="str">
        <f t="shared" ref="J32:J100" si="41">INT(M32/86400) &amp; " d " &amp;
TEXT(MOD(M32,86400)/86400, "h"" h ""mm"" min ""ss"" s""")
</f>
        <v>1 d 15 h 25 min 26 s</v>
      </c>
      <c r="L32" s="21">
        <f t="shared" si="6"/>
        <v>23737.63138</v>
      </c>
      <c r="M32" s="21">
        <f t="shared" si="10"/>
        <v>141925.7883</v>
      </c>
      <c r="O32" s="23">
        <f t="shared" si="11"/>
        <v>575253.1777</v>
      </c>
    </row>
    <row r="33" ht="15.75" customHeight="1">
      <c r="B33" s="13">
        <v>32.0</v>
      </c>
      <c r="C33" s="16">
        <f t="shared" si="7"/>
        <v>504.8709793</v>
      </c>
      <c r="D33" s="16">
        <f t="shared" si="8"/>
        <v>340599.4337</v>
      </c>
      <c r="E33" s="16" t="str">
        <f t="shared" si="1"/>
        <v>0 h 11 min 15 s</v>
      </c>
      <c r="F33" s="19">
        <f t="shared" ref="F33:G33" si="40">F32*$A$8</f>
        <v>14381329.44</v>
      </c>
      <c r="G33" s="20">
        <f t="shared" si="40"/>
        <v>11505063.55</v>
      </c>
      <c r="H33" s="19" t="str">
        <f t="shared" si="3"/>
        <v>7 h 54 min 45 s</v>
      </c>
      <c r="I33" s="20" t="str">
        <f t="shared" si="4"/>
        <v>6 h 19 min 48 s</v>
      </c>
      <c r="J33" s="14" t="str">
        <f t="shared" si="41"/>
        <v>1 d 23 h 20 min 11 s</v>
      </c>
      <c r="L33" s="21">
        <f t="shared" si="6"/>
        <v>28485.15766</v>
      </c>
      <c r="M33" s="21">
        <f t="shared" si="10"/>
        <v>170410.9459</v>
      </c>
      <c r="O33" s="23">
        <f t="shared" si="11"/>
        <v>862879.7665</v>
      </c>
    </row>
    <row r="34" ht="15.75" customHeight="1">
      <c r="B34" s="13">
        <v>33.0</v>
      </c>
      <c r="C34" s="16">
        <f t="shared" si="7"/>
        <v>631.0887242</v>
      </c>
      <c r="D34" s="16">
        <f t="shared" si="8"/>
        <v>442779.2638</v>
      </c>
      <c r="E34" s="16" t="str">
        <f t="shared" si="1"/>
        <v>0 h 11 min 42 s</v>
      </c>
      <c r="F34" s="19">
        <f t="shared" ref="F34:G34" si="42">F33*$A$8</f>
        <v>21571994.16</v>
      </c>
      <c r="G34" s="20">
        <f t="shared" si="42"/>
        <v>17257595.33</v>
      </c>
      <c r="H34" s="19" t="str">
        <f t="shared" si="3"/>
        <v>9 h 29 min 42 s</v>
      </c>
      <c r="I34" s="20" t="str">
        <f t="shared" si="4"/>
        <v>7 h 35 min 46 s</v>
      </c>
      <c r="J34" s="14" t="str">
        <f t="shared" si="41"/>
        <v>2 d 8 h 49 min 53 s</v>
      </c>
      <c r="L34" s="21">
        <f t="shared" si="6"/>
        <v>34182.18919</v>
      </c>
      <c r="M34" s="21">
        <f t="shared" si="10"/>
        <v>204593.1351</v>
      </c>
      <c r="O34" s="23">
        <f t="shared" si="11"/>
        <v>1294319.65</v>
      </c>
    </row>
    <row r="35" ht="15.75" customHeight="1">
      <c r="B35" s="13">
        <v>34.0</v>
      </c>
      <c r="C35" s="16">
        <f t="shared" si="7"/>
        <v>788.8609052</v>
      </c>
      <c r="D35" s="16">
        <f t="shared" si="8"/>
        <v>575613.0429</v>
      </c>
      <c r="E35" s="16" t="str">
        <f t="shared" si="1"/>
        <v>0 h 12 min 10 s</v>
      </c>
      <c r="F35" s="19">
        <f t="shared" ref="F35:G35" si="43">F34*$A$8</f>
        <v>32357991.25</v>
      </c>
      <c r="G35" s="20">
        <f t="shared" si="43"/>
        <v>25886393</v>
      </c>
      <c r="H35" s="19" t="str">
        <f t="shared" si="3"/>
        <v>11 h 23 min 39 s</v>
      </c>
      <c r="I35" s="20" t="str">
        <f t="shared" si="4"/>
        <v>9 h 06 min 55 s</v>
      </c>
      <c r="J35" s="14" t="str">
        <f t="shared" si="41"/>
        <v>2 d 20 h 13 min 32 s</v>
      </c>
      <c r="L35" s="21">
        <f t="shared" si="6"/>
        <v>41018.62702</v>
      </c>
      <c r="M35" s="21">
        <f t="shared" si="10"/>
        <v>245611.7621</v>
      </c>
      <c r="O35" s="23">
        <f t="shared" si="11"/>
        <v>1941479.475</v>
      </c>
    </row>
    <row r="36" ht="15.75" customHeight="1">
      <c r="B36" s="13">
        <v>35.0</v>
      </c>
      <c r="C36" s="16">
        <f t="shared" si="7"/>
        <v>986.0761315</v>
      </c>
      <c r="D36" s="16">
        <f t="shared" si="8"/>
        <v>748296.9558</v>
      </c>
      <c r="E36" s="16" t="str">
        <f t="shared" si="1"/>
        <v>0 h 12 min 39 s</v>
      </c>
      <c r="F36" s="19">
        <f t="shared" ref="F36:G36" si="44">F35*$A$8</f>
        <v>48536986.87</v>
      </c>
      <c r="G36" s="20">
        <f t="shared" si="44"/>
        <v>38829589.49</v>
      </c>
      <c r="H36" s="19" t="str">
        <f t="shared" si="3"/>
        <v>13 h 40 min 22 s</v>
      </c>
      <c r="I36" s="20" t="str">
        <f t="shared" si="4"/>
        <v>10 h 56 min 18 s</v>
      </c>
      <c r="J36" s="14" t="str">
        <f t="shared" si="41"/>
        <v>3 d 9 h 53 min 54 s</v>
      </c>
      <c r="L36" s="21">
        <f t="shared" si="6"/>
        <v>49222.35243</v>
      </c>
      <c r="M36" s="21">
        <f t="shared" si="10"/>
        <v>294834.1146</v>
      </c>
      <c r="O36" s="23">
        <f t="shared" si="11"/>
        <v>2912219.212</v>
      </c>
    </row>
    <row r="37" ht="15.75" customHeight="1">
      <c r="B37" s="13">
        <v>36.0</v>
      </c>
      <c r="C37" s="16">
        <f t="shared" si="7"/>
        <v>1232.595164</v>
      </c>
      <c r="D37" s="16">
        <f t="shared" si="8"/>
        <v>972786.0425</v>
      </c>
      <c r="E37" s="16" t="str">
        <f t="shared" si="1"/>
        <v>0 h 13 min 09 s</v>
      </c>
      <c r="F37" s="19">
        <f t="shared" ref="F37:G37" si="45">F36*$A$8</f>
        <v>72805480.3</v>
      </c>
      <c r="G37" s="20">
        <f t="shared" si="45"/>
        <v>58244384.24</v>
      </c>
      <c r="H37" s="19" t="str">
        <f t="shared" si="3"/>
        <v>16 h 24 min 27 s</v>
      </c>
      <c r="I37" s="20" t="str">
        <f t="shared" si="4"/>
        <v>13 h 07 min 33 s</v>
      </c>
      <c r="J37" s="14" t="str">
        <f t="shared" si="41"/>
        <v>4 d 2 h 18 min 21 s</v>
      </c>
      <c r="L37" s="21">
        <f t="shared" si="6"/>
        <v>59066.82292</v>
      </c>
      <c r="M37" s="21">
        <f t="shared" si="10"/>
        <v>353900.9375</v>
      </c>
      <c r="O37" s="23">
        <f t="shared" si="11"/>
        <v>4368328.818</v>
      </c>
    </row>
    <row r="38" ht="15.75" customHeight="1">
      <c r="B38" s="13">
        <v>37.0</v>
      </c>
      <c r="C38" s="16">
        <f t="shared" si="7"/>
        <v>1540.743956</v>
      </c>
      <c r="D38" s="16">
        <f t="shared" si="8"/>
        <v>1264621.855</v>
      </c>
      <c r="E38" s="16" t="str">
        <f t="shared" si="1"/>
        <v>0 h 13 min 41 s</v>
      </c>
      <c r="F38" s="19">
        <f t="shared" ref="F38:G38" si="46">F37*$A$8</f>
        <v>109208220.5</v>
      </c>
      <c r="G38" s="20">
        <f t="shared" si="46"/>
        <v>87366576.36</v>
      </c>
      <c r="H38" s="19" t="str">
        <f t="shared" si="3"/>
        <v>19 h 41 min 20 s</v>
      </c>
      <c r="I38" s="20" t="str">
        <f t="shared" si="4"/>
        <v>15 h 45 min 04 s</v>
      </c>
      <c r="J38" s="14" t="str">
        <f t="shared" si="41"/>
        <v>4 d 21 h 59 min 41 s</v>
      </c>
      <c r="L38" s="21">
        <f t="shared" si="6"/>
        <v>70880.1875</v>
      </c>
      <c r="M38" s="21">
        <f t="shared" si="10"/>
        <v>424781.125</v>
      </c>
      <c r="O38" s="23">
        <f t="shared" si="11"/>
        <v>6552493.227</v>
      </c>
    </row>
    <row r="39" ht="15.75" customHeight="1">
      <c r="B39" s="13">
        <v>38.0</v>
      </c>
      <c r="C39" s="16">
        <f t="shared" si="7"/>
        <v>1925.929944</v>
      </c>
      <c r="D39" s="16">
        <f t="shared" si="8"/>
        <v>1644008.412</v>
      </c>
      <c r="E39" s="16" t="str">
        <f t="shared" si="1"/>
        <v>0 h 14 min 14 s</v>
      </c>
      <c r="F39" s="19">
        <f t="shared" ref="F39:G39" si="47">F38*$A$8</f>
        <v>163812330.7</v>
      </c>
      <c r="G39" s="20">
        <f t="shared" si="47"/>
        <v>131049864.5</v>
      </c>
      <c r="H39" s="19" t="str">
        <f t="shared" si="3"/>
        <v>23 h 37 min 36 s</v>
      </c>
      <c r="I39" s="20" t="str">
        <f t="shared" si="4"/>
        <v>18 h 54 min 05 s</v>
      </c>
      <c r="J39" s="14" t="str">
        <f t="shared" si="41"/>
        <v>5 d 21 h 37 min 17 s</v>
      </c>
      <c r="L39" s="21">
        <f t="shared" si="6"/>
        <v>85056.225</v>
      </c>
      <c r="M39" s="21">
        <f t="shared" si="10"/>
        <v>509837.35</v>
      </c>
      <c r="O39" s="23">
        <f t="shared" si="11"/>
        <v>9828739.841</v>
      </c>
    </row>
    <row r="40" ht="15.75" customHeight="1">
      <c r="B40" s="13">
        <v>39.0</v>
      </c>
      <c r="C40" s="16">
        <f t="shared" si="7"/>
        <v>2407.41243</v>
      </c>
      <c r="D40" s="16">
        <f t="shared" si="8"/>
        <v>2137210.935</v>
      </c>
      <c r="E40" s="16" t="str">
        <f t="shared" si="1"/>
        <v>0 h 14 min 48 s</v>
      </c>
      <c r="F40" s="19">
        <f t="shared" ref="F40:G40" si="48">F39*$A$8</f>
        <v>245718496</v>
      </c>
      <c r="G40" s="20">
        <f t="shared" si="48"/>
        <v>196574796.8</v>
      </c>
      <c r="H40" s="19" t="str">
        <f t="shared" si="3"/>
        <v>28 h 21 min 07 s</v>
      </c>
      <c r="I40" s="20" t="str">
        <f t="shared" si="4"/>
        <v>22 h 40 min 54 s</v>
      </c>
      <c r="J40" s="14" t="str">
        <f t="shared" si="41"/>
        <v>7 d 1 h 58 min 25 s</v>
      </c>
      <c r="L40" s="21">
        <f t="shared" si="6"/>
        <v>102067.47</v>
      </c>
      <c r="M40" s="21">
        <f t="shared" si="10"/>
        <v>611904.82</v>
      </c>
      <c r="O40" s="23">
        <f t="shared" si="11"/>
        <v>14743109.76</v>
      </c>
    </row>
    <row r="41" ht="15.75" customHeight="1">
      <c r="B41" s="13">
        <v>40.0</v>
      </c>
      <c r="C41" s="16">
        <f t="shared" si="7"/>
        <v>3009.265538</v>
      </c>
      <c r="D41" s="16">
        <f t="shared" si="8"/>
        <v>2778374.216</v>
      </c>
      <c r="E41" s="16" t="str">
        <f t="shared" si="1"/>
        <v>0 h 15 min 23 s</v>
      </c>
      <c r="F41" s="19">
        <f t="shared" ref="F41:G41" si="49">F40*$A$8</f>
        <v>368577744</v>
      </c>
      <c r="G41" s="20">
        <f t="shared" si="49"/>
        <v>294862195.2</v>
      </c>
      <c r="H41" s="19" t="str">
        <f t="shared" si="3"/>
        <v>34 h 01 min 21 s</v>
      </c>
      <c r="I41" s="20" t="str">
        <f t="shared" si="4"/>
        <v>27 h 13 min 05 s</v>
      </c>
      <c r="J41" s="14" t="str">
        <f t="shared" si="41"/>
        <v>8 d 11 h 59 min 46 s</v>
      </c>
      <c r="L41" s="21">
        <f t="shared" si="6"/>
        <v>122480.964</v>
      </c>
      <c r="M41" s="21">
        <f t="shared" si="10"/>
        <v>734385.784</v>
      </c>
      <c r="O41" s="23">
        <f t="shared" si="11"/>
        <v>22114664.64</v>
      </c>
    </row>
    <row r="42" ht="15.75" customHeight="1">
      <c r="B42" s="13">
        <v>41.0</v>
      </c>
      <c r="C42" s="16">
        <f t="shared" si="7"/>
        <v>3761.581923</v>
      </c>
      <c r="D42" s="16">
        <f t="shared" si="8"/>
        <v>3611886.481</v>
      </c>
      <c r="E42" s="16" t="str">
        <f t="shared" si="1"/>
        <v>0 h 16 min 00 s</v>
      </c>
      <c r="F42" s="19">
        <f t="shared" ref="F42:G42" si="50">F41*$A$8</f>
        <v>552866616</v>
      </c>
      <c r="G42" s="20">
        <f t="shared" si="50"/>
        <v>442293292.8</v>
      </c>
      <c r="H42" s="19" t="str">
        <f t="shared" si="3"/>
        <v>40 h 49 min 37 s</v>
      </c>
      <c r="I42" s="20" t="str">
        <f t="shared" si="4"/>
        <v>32 h 39 min 42 s</v>
      </c>
      <c r="J42" s="14" t="str">
        <f t="shared" si="41"/>
        <v>10 d 4 h 49 min 23 s</v>
      </c>
      <c r="L42" s="21">
        <f t="shared" si="6"/>
        <v>146977.1568</v>
      </c>
      <c r="M42" s="21">
        <f t="shared" si="10"/>
        <v>881362.9408</v>
      </c>
      <c r="O42" s="23">
        <f t="shared" si="11"/>
        <v>33171996.96</v>
      </c>
    </row>
    <row r="43" ht="15.75" customHeight="1">
      <c r="B43" s="13">
        <v>42.0</v>
      </c>
      <c r="C43" s="16">
        <f t="shared" si="7"/>
        <v>4701.977403</v>
      </c>
      <c r="D43" s="16">
        <f t="shared" si="8"/>
        <v>4695452.425</v>
      </c>
      <c r="E43" s="16" t="str">
        <f t="shared" si="1"/>
        <v>0 h 16 min 39 s</v>
      </c>
      <c r="F43" s="19">
        <f t="shared" ref="F43:G43" si="51">F42*$A$8</f>
        <v>829299924.1</v>
      </c>
      <c r="G43" s="20">
        <f t="shared" si="51"/>
        <v>663439939.3</v>
      </c>
      <c r="H43" s="19" t="str">
        <f t="shared" si="3"/>
        <v>48 h 59 min 33 s</v>
      </c>
      <c r="I43" s="20" t="str">
        <f t="shared" si="4"/>
        <v>39 h 11 min 38 s</v>
      </c>
      <c r="J43" s="14" t="str">
        <f t="shared" si="41"/>
        <v>12 d 5 h 48 min 56 s</v>
      </c>
      <c r="L43" s="21">
        <f t="shared" si="6"/>
        <v>176372.5882</v>
      </c>
      <c r="M43" s="21">
        <f t="shared" si="10"/>
        <v>1057735.529</v>
      </c>
      <c r="O43" s="23">
        <f t="shared" si="11"/>
        <v>49757995.44</v>
      </c>
    </row>
    <row r="44" ht="15.75" customHeight="1">
      <c r="B44" s="13">
        <v>43.0</v>
      </c>
      <c r="C44" s="16">
        <f t="shared" si="7"/>
        <v>5877.471754</v>
      </c>
      <c r="D44" s="16">
        <f t="shared" si="8"/>
        <v>6104088.153</v>
      </c>
      <c r="E44" s="16" t="str">
        <f t="shared" si="1"/>
        <v>0 h 17 min 19 s</v>
      </c>
      <c r="F44" s="19">
        <f t="shared" ref="F44:G44" si="52">F43*$A$8</f>
        <v>1243949886</v>
      </c>
      <c r="G44" s="20">
        <f t="shared" si="52"/>
        <v>995159908.9</v>
      </c>
      <c r="H44" s="19" t="str">
        <f t="shared" si="3"/>
        <v>58 h 47 min 27 s</v>
      </c>
      <c r="I44" s="20" t="str">
        <f t="shared" si="4"/>
        <v>47 h 01 min 58 s</v>
      </c>
      <c r="J44" s="14" t="str">
        <f t="shared" si="41"/>
        <v>14 d 16 h 36 min 23 s</v>
      </c>
      <c r="L44" s="21">
        <f t="shared" si="6"/>
        <v>211647.1058</v>
      </c>
      <c r="M44" s="21">
        <f t="shared" si="10"/>
        <v>1269382.635</v>
      </c>
      <c r="O44" s="23">
        <f t="shared" si="11"/>
        <v>74636993.17</v>
      </c>
    </row>
    <row r="45" ht="15.75" customHeight="1">
      <c r="B45" s="13">
        <v>44.0</v>
      </c>
      <c r="C45" s="16">
        <f t="shared" si="7"/>
        <v>7346.839693</v>
      </c>
      <c r="D45" s="16">
        <f t="shared" si="8"/>
        <v>7935314.598</v>
      </c>
      <c r="E45" s="16" t="str">
        <f t="shared" si="1"/>
        <v>0 h 18 min 00 s</v>
      </c>
      <c r="F45" s="19">
        <f t="shared" ref="F45:G45" si="53">F44*$A$8</f>
        <v>1865924829</v>
      </c>
      <c r="G45" s="20">
        <f t="shared" si="53"/>
        <v>1492739863</v>
      </c>
      <c r="H45" s="19" t="str">
        <f t="shared" si="3"/>
        <v>70 h 32 min 57 s</v>
      </c>
      <c r="I45" s="20" t="str">
        <f t="shared" si="4"/>
        <v>56 h 26 min 21 s</v>
      </c>
      <c r="J45" s="14" t="str">
        <f t="shared" si="41"/>
        <v>17 d 15 h 09 min 19 s</v>
      </c>
      <c r="L45" s="21">
        <f t="shared" si="6"/>
        <v>253976.5269</v>
      </c>
      <c r="M45" s="21">
        <f t="shared" si="10"/>
        <v>1523359.162</v>
      </c>
      <c r="O45" s="23">
        <f t="shared" si="11"/>
        <v>111955489.7</v>
      </c>
    </row>
    <row r="46" ht="15.75" customHeight="1">
      <c r="B46" s="13">
        <v>45.0</v>
      </c>
      <c r="C46" s="16">
        <f t="shared" si="7"/>
        <v>9183.549616</v>
      </c>
      <c r="D46" s="16">
        <f t="shared" si="8"/>
        <v>10315908.98</v>
      </c>
      <c r="E46" s="16" t="str">
        <f t="shared" si="1"/>
        <v>0 h 18 min 43 s</v>
      </c>
      <c r="F46" s="19">
        <f t="shared" ref="F46:G46" si="54">F45*$A$8</f>
        <v>2798887244</v>
      </c>
      <c r="G46" s="20">
        <f t="shared" si="54"/>
        <v>2239109795</v>
      </c>
      <c r="H46" s="19" t="str">
        <f t="shared" si="3"/>
        <v>84 h 39 min 32 s</v>
      </c>
      <c r="I46" s="20" t="str">
        <f t="shared" si="4"/>
        <v>67 h 43 min 37 s</v>
      </c>
      <c r="J46" s="14" t="str">
        <f t="shared" si="41"/>
        <v>21 d 3 h 48 min 51 s</v>
      </c>
      <c r="L46" s="21">
        <f t="shared" si="6"/>
        <v>304771.8323</v>
      </c>
      <c r="M46" s="21">
        <f t="shared" si="10"/>
        <v>1828130.994</v>
      </c>
      <c r="O46" s="23">
        <f t="shared" si="11"/>
        <v>167933234.6</v>
      </c>
    </row>
    <row r="47" ht="15.75" customHeight="1">
      <c r="B47" s="13">
        <v>46.0</v>
      </c>
      <c r="C47" s="16">
        <f t="shared" si="7"/>
        <v>11479.43702</v>
      </c>
      <c r="D47" s="16">
        <f t="shared" si="8"/>
        <v>13410681.67</v>
      </c>
      <c r="E47" s="16" t="str">
        <f t="shared" si="1"/>
        <v>0 h 19 min 28 s</v>
      </c>
      <c r="F47" s="19">
        <f t="shared" ref="F47:G47" si="55">F46*$A$8</f>
        <v>4198330866</v>
      </c>
      <c r="G47" s="20">
        <f t="shared" si="55"/>
        <v>3358664692</v>
      </c>
      <c r="H47" s="19" t="str">
        <f t="shared" si="3"/>
        <v>101 h 35 min 26 s</v>
      </c>
      <c r="I47" s="20" t="str">
        <f t="shared" si="4"/>
        <v>81 h 16 min 21 s</v>
      </c>
      <c r="J47" s="14" t="str">
        <f t="shared" si="41"/>
        <v>25 d 9 h 24 min 17 s</v>
      </c>
      <c r="L47" s="21">
        <f t="shared" si="6"/>
        <v>365726.1988</v>
      </c>
      <c r="M47" s="21">
        <f t="shared" si="10"/>
        <v>2193857.193</v>
      </c>
      <c r="O47" s="23">
        <f t="shared" si="11"/>
        <v>251899851.9</v>
      </c>
    </row>
    <row r="48" ht="15.75" customHeight="1">
      <c r="B48" s="13">
        <v>47.0</v>
      </c>
      <c r="C48" s="16">
        <f t="shared" si="7"/>
        <v>14349.29627</v>
      </c>
      <c r="D48" s="16">
        <f t="shared" si="8"/>
        <v>17433886.17</v>
      </c>
      <c r="E48" s="16" t="str">
        <f t="shared" si="1"/>
        <v>0 h 20 min 15 s</v>
      </c>
      <c r="F48" s="19">
        <f t="shared" ref="F48:G48" si="56">F47*$A$8</f>
        <v>6297496298</v>
      </c>
      <c r="G48" s="20">
        <f t="shared" si="56"/>
        <v>5037997039</v>
      </c>
      <c r="H48" s="19" t="str">
        <f t="shared" si="3"/>
        <v>121 h 54 min 31 s</v>
      </c>
      <c r="I48" s="20" t="str">
        <f t="shared" si="4"/>
        <v>97 h 31 min 37 s</v>
      </c>
      <c r="J48" s="14" t="str">
        <f t="shared" si="41"/>
        <v>30 d 11 h 18 min 49 s</v>
      </c>
      <c r="L48" s="21">
        <f t="shared" si="6"/>
        <v>438871.4386</v>
      </c>
      <c r="M48" s="21">
        <f t="shared" si="10"/>
        <v>2632728.631</v>
      </c>
      <c r="O48" s="23">
        <f t="shared" si="11"/>
        <v>377849777.9</v>
      </c>
    </row>
    <row r="49" ht="15.75" customHeight="1">
      <c r="B49" s="13">
        <v>48.0</v>
      </c>
      <c r="C49" s="16">
        <f t="shared" si="7"/>
        <v>17936.62034</v>
      </c>
      <c r="D49" s="16">
        <f t="shared" si="8"/>
        <v>22664052.02</v>
      </c>
      <c r="E49" s="16" t="str">
        <f t="shared" si="1"/>
        <v>0 h 21 min 04 s</v>
      </c>
      <c r="F49" s="19">
        <f t="shared" ref="F49:G49" si="57">F48*$A$8</f>
        <v>9446244448</v>
      </c>
      <c r="G49" s="20">
        <f t="shared" si="57"/>
        <v>7556995558</v>
      </c>
      <c r="H49" s="19" t="str">
        <f t="shared" si="3"/>
        <v>146 h 17 min 26 s</v>
      </c>
      <c r="I49" s="20" t="str">
        <f t="shared" si="4"/>
        <v>117 h 01 min 57 s</v>
      </c>
      <c r="J49" s="14" t="str">
        <f t="shared" si="41"/>
        <v>36 d 13 h 36 min 14 s</v>
      </c>
      <c r="L49" s="21">
        <f t="shared" si="6"/>
        <v>526645.7263</v>
      </c>
      <c r="M49" s="21">
        <f t="shared" si="10"/>
        <v>3159374.358</v>
      </c>
      <c r="O49" s="23">
        <f t="shared" si="11"/>
        <v>566774666.9</v>
      </c>
    </row>
    <row r="50" ht="15.75" customHeight="1">
      <c r="B50" s="13">
        <v>49.0</v>
      </c>
      <c r="C50" s="16">
        <f t="shared" si="7"/>
        <v>22420.77543</v>
      </c>
      <c r="D50" s="16">
        <f t="shared" si="8"/>
        <v>29463267.63</v>
      </c>
      <c r="E50" s="16" t="str">
        <f t="shared" si="1"/>
        <v>0 h 21 min 54 s</v>
      </c>
      <c r="F50" s="19">
        <f t="shared" ref="F50:G50" si="58">F49*$A$8</f>
        <v>14169366671</v>
      </c>
      <c r="G50" s="20">
        <f t="shared" si="58"/>
        <v>11335493337</v>
      </c>
      <c r="H50" s="19" t="str">
        <f t="shared" si="3"/>
        <v>175 h 32 min 55 s</v>
      </c>
      <c r="I50" s="20" t="str">
        <f t="shared" si="4"/>
        <v>140 h 26 min 20 s</v>
      </c>
      <c r="J50" s="14" t="str">
        <f t="shared" si="41"/>
        <v>43 d 21 h 09 min 09 s</v>
      </c>
      <c r="L50" s="21">
        <f t="shared" si="6"/>
        <v>631974.8715</v>
      </c>
      <c r="M50" s="21">
        <f t="shared" si="10"/>
        <v>3791349.229</v>
      </c>
      <c r="O50" s="23">
        <f t="shared" si="11"/>
        <v>850162000.3</v>
      </c>
    </row>
    <row r="51" ht="15.75" customHeight="1">
      <c r="B51" s="13">
        <v>50.0</v>
      </c>
      <c r="C51" s="16">
        <f t="shared" si="7"/>
        <v>28025.96929</v>
      </c>
      <c r="D51" s="16">
        <f t="shared" si="8"/>
        <v>38302247.92</v>
      </c>
      <c r="E51" s="16" t="str">
        <f t="shared" si="1"/>
        <v>0 h 22 min 47 s</v>
      </c>
      <c r="F51" s="19">
        <f t="shared" ref="F51:G51" si="59">F50*$A$8</f>
        <v>21254050007</v>
      </c>
      <c r="G51" s="20">
        <f t="shared" si="59"/>
        <v>17003240006</v>
      </c>
      <c r="H51" s="19" t="str">
        <f t="shared" si="3"/>
        <v>210 h 39 min 30 s</v>
      </c>
      <c r="I51" s="20" t="str">
        <f t="shared" si="4"/>
        <v>168 h 31 min 36 s</v>
      </c>
      <c r="J51" s="14" t="str">
        <f t="shared" si="41"/>
        <v>52 d 15 h 48 min 39 s</v>
      </c>
      <c r="L51" s="21">
        <f t="shared" si="6"/>
        <v>758369.8458</v>
      </c>
      <c r="M51" s="21">
        <f t="shared" si="10"/>
        <v>4549719.075</v>
      </c>
      <c r="O51" s="23">
        <f t="shared" si="11"/>
        <v>1275243000</v>
      </c>
    </row>
    <row r="52" ht="15.75" customHeight="1">
      <c r="B52" s="13">
        <v>51.0</v>
      </c>
      <c r="C52" s="16">
        <f t="shared" si="7"/>
        <v>35032.46161</v>
      </c>
      <c r="D52" s="16">
        <f t="shared" si="8"/>
        <v>49792922.3</v>
      </c>
      <c r="E52" s="16" t="str">
        <f t="shared" si="1"/>
        <v>0 h 23 min 41 s</v>
      </c>
      <c r="F52" s="19">
        <f t="shared" ref="F52:G52" si="60">F51*$A$8</f>
        <v>31881075011</v>
      </c>
      <c r="G52" s="20">
        <f t="shared" si="60"/>
        <v>25504860009</v>
      </c>
      <c r="H52" s="19" t="str">
        <f t="shared" si="3"/>
        <v>252 h 47 min 24 s</v>
      </c>
      <c r="I52" s="20" t="str">
        <f t="shared" si="4"/>
        <v>202 h 13 min 55 s</v>
      </c>
      <c r="J52" s="14" t="str">
        <f t="shared" si="41"/>
        <v>63 d 4 h 36 min 03 s</v>
      </c>
      <c r="L52" s="21">
        <f t="shared" si="6"/>
        <v>910043.815</v>
      </c>
      <c r="M52" s="21">
        <f t="shared" si="10"/>
        <v>5459762.89</v>
      </c>
      <c r="O52" s="23">
        <f t="shared" si="11"/>
        <v>1912864501</v>
      </c>
    </row>
    <row r="53" ht="15.75" customHeight="1">
      <c r="B53" s="13">
        <v>52.0</v>
      </c>
      <c r="C53" s="16">
        <f t="shared" si="7"/>
        <v>43790.57701</v>
      </c>
      <c r="D53" s="16">
        <f t="shared" si="8"/>
        <v>64730798.99</v>
      </c>
      <c r="E53" s="16" t="str">
        <f t="shared" si="1"/>
        <v>0 h 24 min 38 s</v>
      </c>
      <c r="F53" s="19">
        <f t="shared" ref="F53:G53" si="61">F52*$A$8</f>
        <v>47821612516</v>
      </c>
      <c r="G53" s="20">
        <f t="shared" si="61"/>
        <v>38257290013</v>
      </c>
      <c r="H53" s="19" t="str">
        <f t="shared" si="3"/>
        <v>303 h 20 min 53 s</v>
      </c>
      <c r="I53" s="20" t="str">
        <f t="shared" si="4"/>
        <v>242 h 40 min 42 s</v>
      </c>
      <c r="J53" s="14" t="str">
        <f t="shared" si="41"/>
        <v>75 d 19 h 56 min 55 s</v>
      </c>
      <c r="L53" s="21">
        <f t="shared" si="6"/>
        <v>1092052.578</v>
      </c>
      <c r="M53" s="21">
        <f t="shared" si="10"/>
        <v>6551815.468</v>
      </c>
      <c r="O53" s="23">
        <f t="shared" si="11"/>
        <v>2869296751</v>
      </c>
    </row>
    <row r="54" ht="15.75" customHeight="1">
      <c r="B54" s="13">
        <v>53.0</v>
      </c>
      <c r="C54" s="16">
        <f t="shared" si="7"/>
        <v>54738.22126</v>
      </c>
      <c r="D54" s="16">
        <f t="shared" si="8"/>
        <v>84150038.68</v>
      </c>
      <c r="E54" s="16" t="str">
        <f t="shared" si="1"/>
        <v>0 h 25 min 37 s</v>
      </c>
      <c r="F54" s="19">
        <f t="shared" ref="F54:G54" si="62">F53*$A$8</f>
        <v>71732418774</v>
      </c>
      <c r="G54" s="20">
        <f t="shared" si="62"/>
        <v>57385935019</v>
      </c>
      <c r="H54" s="19" t="str">
        <f t="shared" si="3"/>
        <v>364 h 01 min 03 s</v>
      </c>
      <c r="I54" s="20" t="str">
        <f t="shared" si="4"/>
        <v>291 h 12 min 50 s</v>
      </c>
      <c r="J54" s="14" t="str">
        <f t="shared" si="41"/>
        <v>90 d 23 h 57 min 59 s</v>
      </c>
      <c r="L54" s="21">
        <f t="shared" si="6"/>
        <v>1310463.094</v>
      </c>
      <c r="M54" s="21">
        <f t="shared" si="10"/>
        <v>7862278.562</v>
      </c>
      <c r="O54" s="23">
        <f t="shared" si="11"/>
        <v>4303945126</v>
      </c>
    </row>
    <row r="55" ht="15.75" customHeight="1">
      <c r="B55" s="13">
        <v>54.0</v>
      </c>
      <c r="C55" s="16">
        <f t="shared" si="7"/>
        <v>68422.77658</v>
      </c>
      <c r="D55" s="16">
        <f t="shared" si="8"/>
        <v>109395050.3</v>
      </c>
      <c r="E55" s="16" t="str">
        <f t="shared" si="1"/>
        <v>0 h 26 min 39 s</v>
      </c>
      <c r="F55" s="19">
        <f t="shared" ref="F55:G55" si="63">F54*$A$8</f>
        <v>107598628161</v>
      </c>
      <c r="G55" s="20">
        <f t="shared" si="63"/>
        <v>86078902529</v>
      </c>
      <c r="H55" s="19" t="str">
        <f t="shared" si="3"/>
        <v>436 h 49 min 16 s</v>
      </c>
      <c r="I55" s="20" t="str">
        <f t="shared" si="4"/>
        <v>349 h 27 min 25 s</v>
      </c>
      <c r="J55" s="14" t="str">
        <f t="shared" si="41"/>
        <v>109 d 4 h 47 min 14 s</v>
      </c>
      <c r="L55" s="21">
        <f t="shared" si="6"/>
        <v>1572555.712</v>
      </c>
      <c r="M55" s="21">
        <f t="shared" si="10"/>
        <v>9434834.274</v>
      </c>
      <c r="O55" s="23">
        <f t="shared" si="11"/>
        <v>6455917690</v>
      </c>
    </row>
    <row r="56" ht="15.75" customHeight="1">
      <c r="B56" s="13">
        <v>55.0</v>
      </c>
      <c r="C56" s="16">
        <f t="shared" si="7"/>
        <v>85528.47072</v>
      </c>
      <c r="D56" s="16">
        <f t="shared" si="8"/>
        <v>142213565.4</v>
      </c>
      <c r="E56" s="16" t="str">
        <f t="shared" si="1"/>
        <v>0 h 27 min 43 s</v>
      </c>
      <c r="F56" s="19">
        <f t="shared" ref="F56:G56" si="64">F55*$A$8</f>
        <v>161397942242</v>
      </c>
      <c r="G56" s="20">
        <f t="shared" si="64"/>
        <v>129118353793</v>
      </c>
      <c r="H56" s="19" t="str">
        <f t="shared" si="3"/>
        <v>524 h 11 min 07 s</v>
      </c>
      <c r="I56" s="20" t="str">
        <f t="shared" si="4"/>
        <v>419 h 20 min 53 s</v>
      </c>
      <c r="J56" s="14" t="str">
        <f t="shared" si="41"/>
        <v>131 d 0 h 58 min 21 s</v>
      </c>
      <c r="L56" s="21">
        <f t="shared" si="6"/>
        <v>1887066.855</v>
      </c>
      <c r="M56" s="21">
        <f t="shared" si="10"/>
        <v>11321901.13</v>
      </c>
      <c r="O56" s="23">
        <f t="shared" si="11"/>
        <v>9683876535</v>
      </c>
    </row>
    <row r="57" ht="15.75" customHeight="1">
      <c r="B57" s="13">
        <v>56.0</v>
      </c>
      <c r="C57" s="16">
        <f t="shared" si="7"/>
        <v>106910.5884</v>
      </c>
      <c r="D57" s="16">
        <f t="shared" si="8"/>
        <v>184877635</v>
      </c>
      <c r="E57" s="16" t="str">
        <f t="shared" si="1"/>
        <v>0 h 28 min 49 s</v>
      </c>
      <c r="F57" s="19">
        <f t="shared" ref="F57:G57" si="65">F56*$A$8</f>
        <v>242096913363</v>
      </c>
      <c r="G57" s="20">
        <f t="shared" si="65"/>
        <v>193677530690</v>
      </c>
      <c r="H57" s="19" t="str">
        <f t="shared" si="3"/>
        <v>629 h 01 min 20 s</v>
      </c>
      <c r="I57" s="20" t="str">
        <f t="shared" si="4"/>
        <v>503 h 13 min 04 s</v>
      </c>
      <c r="J57" s="14" t="str">
        <f t="shared" si="41"/>
        <v>157 d 5 h 59 min 41 s</v>
      </c>
      <c r="L57" s="21">
        <f t="shared" si="6"/>
        <v>2264480.226</v>
      </c>
      <c r="M57" s="21">
        <f t="shared" si="10"/>
        <v>13586381.35</v>
      </c>
      <c r="O57" s="23">
        <f t="shared" si="11"/>
        <v>14525814802</v>
      </c>
    </row>
    <row r="58" ht="15.75" customHeight="1">
      <c r="B58" s="13">
        <v>57.0</v>
      </c>
      <c r="C58" s="16">
        <f t="shared" si="7"/>
        <v>133638.2355</v>
      </c>
      <c r="D58" s="16">
        <f t="shared" si="8"/>
        <v>240340925.5</v>
      </c>
      <c r="E58" s="16" t="str">
        <f t="shared" si="1"/>
        <v>0 h 29 min 58 s</v>
      </c>
      <c r="F58" s="19">
        <f t="shared" ref="F58:G58" si="66">F57*$A$8</f>
        <v>363145370044</v>
      </c>
      <c r="G58" s="20">
        <f t="shared" si="66"/>
        <v>290516296035</v>
      </c>
      <c r="H58" s="19" t="str">
        <f t="shared" si="3"/>
        <v>754 h 49 min 36 s</v>
      </c>
      <c r="I58" s="20" t="str">
        <f t="shared" si="4"/>
        <v>603 h 51 min 41 s</v>
      </c>
      <c r="J58" s="14" t="str">
        <f t="shared" si="41"/>
        <v>188 d 16 h 49 min 18 s</v>
      </c>
      <c r="L58" s="21">
        <f t="shared" si="6"/>
        <v>2717376.271</v>
      </c>
      <c r="M58" s="21">
        <f t="shared" si="10"/>
        <v>16303757.63</v>
      </c>
      <c r="O58" s="23">
        <f t="shared" si="11"/>
        <v>21788722203</v>
      </c>
    </row>
    <row r="59" ht="15.75" customHeight="1">
      <c r="B59" s="13">
        <v>58.0</v>
      </c>
      <c r="C59" s="16">
        <f t="shared" si="7"/>
        <v>167047.7944</v>
      </c>
      <c r="D59" s="16">
        <f t="shared" si="8"/>
        <v>312443203.1</v>
      </c>
      <c r="E59" s="16" t="str">
        <f t="shared" si="1"/>
        <v>0 h 31 min 10 s</v>
      </c>
      <c r="F59" s="19">
        <f t="shared" ref="F59:G59" si="67">F58*$A$8</f>
        <v>544718055066</v>
      </c>
      <c r="G59" s="20">
        <f t="shared" si="67"/>
        <v>435774444053</v>
      </c>
      <c r="H59" s="19" t="str">
        <f t="shared" si="3"/>
        <v>905 h 47 min 32 s</v>
      </c>
      <c r="I59" s="20" t="str">
        <f t="shared" si="4"/>
        <v>724 h 38 min 01 s</v>
      </c>
      <c r="J59" s="14" t="str">
        <f t="shared" si="41"/>
        <v>226 d 10 h 36 min 49 s</v>
      </c>
      <c r="L59" s="21">
        <f t="shared" si="6"/>
        <v>3260851.525</v>
      </c>
      <c r="M59" s="21">
        <f t="shared" si="10"/>
        <v>19564609.15</v>
      </c>
      <c r="O59" s="23">
        <f t="shared" si="11"/>
        <v>32683083304</v>
      </c>
    </row>
    <row r="60" ht="15.75" customHeight="1">
      <c r="B60" s="13">
        <v>59.0</v>
      </c>
      <c r="C60" s="16">
        <f t="shared" si="7"/>
        <v>208809.743</v>
      </c>
      <c r="D60" s="16">
        <f t="shared" si="8"/>
        <v>406176164.1</v>
      </c>
      <c r="E60" s="16" t="str">
        <f t="shared" si="1"/>
        <v>0 h 32 min 25 s</v>
      </c>
      <c r="F60" s="19">
        <f t="shared" ref="F60:G60" si="68">F59*$A$8</f>
        <v>817077082599</v>
      </c>
      <c r="G60" s="20">
        <f t="shared" si="68"/>
        <v>653661666079</v>
      </c>
      <c r="H60" s="19" t="str">
        <f t="shared" si="3"/>
        <v>1086 h 57 min 02 s</v>
      </c>
      <c r="I60" s="20" t="str">
        <f t="shared" si="4"/>
        <v>869 h 33 min 37 s</v>
      </c>
      <c r="J60" s="14" t="str">
        <f t="shared" si="41"/>
        <v>271 d 17 h 33 min 51 s</v>
      </c>
      <c r="L60" s="21">
        <f t="shared" si="6"/>
        <v>3913021.83</v>
      </c>
      <c r="M60" s="21">
        <f t="shared" si="10"/>
        <v>23477630.98</v>
      </c>
      <c r="O60" s="23">
        <f t="shared" si="11"/>
        <v>49024624956</v>
      </c>
    </row>
    <row r="61" ht="15.75" customHeight="1">
      <c r="B61" s="13">
        <v>60.0</v>
      </c>
      <c r="C61" s="16">
        <f t="shared" si="7"/>
        <v>261012.1787</v>
      </c>
      <c r="D61" s="16">
        <f t="shared" si="8"/>
        <v>528029013.3</v>
      </c>
      <c r="E61" s="16" t="str">
        <f t="shared" si="1"/>
        <v>0 h 33 min 43 s</v>
      </c>
      <c r="F61" s="19">
        <f t="shared" ref="F61:G61" si="69">F60*$A$8</f>
        <v>1225615623898</v>
      </c>
      <c r="G61" s="20">
        <f t="shared" si="69"/>
        <v>980492499118</v>
      </c>
      <c r="H61" s="19" t="str">
        <f t="shared" si="3"/>
        <v>1304 h 20 min 26 s</v>
      </c>
      <c r="I61" s="20" t="str">
        <f t="shared" si="4"/>
        <v>1043 h 28 min 21 s</v>
      </c>
      <c r="J61" s="14" t="str">
        <f t="shared" si="41"/>
        <v>326 d 1 h 54 min 17 s</v>
      </c>
      <c r="L61" s="21">
        <f t="shared" si="6"/>
        <v>4695626.196</v>
      </c>
      <c r="M61" s="21">
        <f t="shared" si="10"/>
        <v>28173257.18</v>
      </c>
      <c r="O61" s="23">
        <f t="shared" si="11"/>
        <v>73536937434</v>
      </c>
    </row>
    <row r="62" ht="15.75" customHeight="1">
      <c r="B62" s="13">
        <v>61.0</v>
      </c>
      <c r="C62" s="16">
        <f t="shared" si="7"/>
        <v>326265.2234</v>
      </c>
      <c r="D62" s="16">
        <f t="shared" si="8"/>
        <v>686437717.3</v>
      </c>
      <c r="E62" s="16" t="str">
        <f t="shared" si="1"/>
        <v>0 h 35 min 04 s</v>
      </c>
      <c r="F62" s="19">
        <f t="shared" ref="F62:G62" si="70">F61*$A$8</f>
        <v>1838423435847</v>
      </c>
      <c r="G62" s="20">
        <f t="shared" si="70"/>
        <v>1470738748677</v>
      </c>
      <c r="H62" s="19" t="str">
        <f t="shared" si="3"/>
        <v>1565 h 12 min 31 s</v>
      </c>
      <c r="I62" s="20" t="str">
        <f t="shared" si="4"/>
        <v>1252 h 10 min 01 s</v>
      </c>
      <c r="J62" s="14" t="str">
        <f t="shared" si="41"/>
        <v>391 d 7 h 06 min 49 s</v>
      </c>
      <c r="L62" s="21">
        <f t="shared" si="6"/>
        <v>5634751.435</v>
      </c>
      <c r="M62" s="21">
        <f t="shared" si="10"/>
        <v>33808008.61</v>
      </c>
      <c r="O62" s="23">
        <f t="shared" si="11"/>
        <v>110305406151</v>
      </c>
    </row>
    <row r="63" ht="15.75" customHeight="1">
      <c r="B63" s="13">
        <v>62.0</v>
      </c>
      <c r="C63" s="16">
        <f t="shared" si="7"/>
        <v>407831.5292</v>
      </c>
      <c r="D63" s="16">
        <f t="shared" si="8"/>
        <v>892369032.5</v>
      </c>
      <c r="E63" s="16" t="str">
        <f t="shared" si="1"/>
        <v>0 h 36 min 28 s</v>
      </c>
      <c r="F63" s="19">
        <f t="shared" ref="F63:G63" si="71">F62*$A$8</f>
        <v>2757635153770</v>
      </c>
      <c r="G63" s="20">
        <f t="shared" si="71"/>
        <v>2206108123016</v>
      </c>
      <c r="H63" s="19" t="str">
        <f t="shared" si="3"/>
        <v>1878 h 15 min 02 s</v>
      </c>
      <c r="I63" s="20" t="str">
        <f t="shared" si="4"/>
        <v>1502 h 36 min 01 s</v>
      </c>
      <c r="J63" s="14" t="str">
        <f t="shared" si="41"/>
        <v>469 d 13 h 21 min 50 s</v>
      </c>
      <c r="L63" s="21">
        <f t="shared" si="6"/>
        <v>6761701.722</v>
      </c>
      <c r="M63" s="21">
        <f t="shared" si="10"/>
        <v>40569710.33</v>
      </c>
      <c r="O63" s="23">
        <f t="shared" si="11"/>
        <v>165458109226</v>
      </c>
    </row>
    <row r="64" ht="15.75" customHeight="1">
      <c r="B64" s="13">
        <v>63.0</v>
      </c>
      <c r="C64" s="16">
        <f t="shared" si="7"/>
        <v>509789.4116</v>
      </c>
      <c r="D64" s="16">
        <f t="shared" si="8"/>
        <v>1160079742</v>
      </c>
      <c r="E64" s="16" t="str">
        <f t="shared" si="1"/>
        <v>0 h 37 min 56 s</v>
      </c>
      <c r="F64" s="19">
        <f t="shared" ref="F64:G64" si="72">F63*$A$8</f>
        <v>4136452730655</v>
      </c>
      <c r="G64" s="20">
        <f t="shared" si="72"/>
        <v>3309162184524</v>
      </c>
      <c r="H64" s="19" t="str">
        <f t="shared" si="3"/>
        <v>2253 h 54 min 02 s</v>
      </c>
      <c r="I64" s="20" t="str">
        <f t="shared" si="4"/>
        <v>1803 h 07 min 14 s</v>
      </c>
      <c r="J64" s="14" t="str">
        <f t="shared" si="41"/>
        <v>563 d 11 h 15 min 52 s</v>
      </c>
      <c r="L64" s="21">
        <f t="shared" si="6"/>
        <v>8114042.067</v>
      </c>
      <c r="M64" s="21">
        <f t="shared" si="10"/>
        <v>48683752.4</v>
      </c>
      <c r="O64" s="23">
        <f t="shared" si="11"/>
        <v>248187163839</v>
      </c>
    </row>
    <row r="65" ht="15.75" customHeight="1">
      <c r="B65" s="13">
        <v>64.0</v>
      </c>
      <c r="C65" s="16">
        <f t="shared" si="7"/>
        <v>637236.7645</v>
      </c>
      <c r="D65" s="16">
        <f t="shared" si="8"/>
        <v>1508103665</v>
      </c>
      <c r="E65" s="16" t="str">
        <f t="shared" si="1"/>
        <v>0 h 39 min 27 s</v>
      </c>
      <c r="F65" s="19">
        <f t="shared" ref="F65:G65" si="73">F64*$A$8</f>
        <v>6204679095982</v>
      </c>
      <c r="G65" s="20">
        <f t="shared" si="73"/>
        <v>4963743276786</v>
      </c>
      <c r="H65" s="19" t="str">
        <f t="shared" si="3"/>
        <v>2704 h 40 min 50 s</v>
      </c>
      <c r="I65" s="20" t="str">
        <f t="shared" si="4"/>
        <v>2163 h 44 min 40 s</v>
      </c>
      <c r="J65" s="14" t="str">
        <f t="shared" si="41"/>
        <v>676 d 3 h 56 min 43 s</v>
      </c>
      <c r="L65" s="21">
        <f t="shared" si="6"/>
        <v>9736850.48</v>
      </c>
      <c r="M65" s="21">
        <f t="shared" si="10"/>
        <v>58420602.88</v>
      </c>
      <c r="O65" s="23">
        <f t="shared" si="11"/>
        <v>372280745759</v>
      </c>
    </row>
    <row r="66" ht="15.75" customHeight="1">
      <c r="B66" s="13">
        <v>65.0</v>
      </c>
      <c r="C66" s="16">
        <f t="shared" si="7"/>
        <v>796545.9556</v>
      </c>
      <c r="D66" s="16">
        <f t="shared" si="8"/>
        <v>1960534764</v>
      </c>
      <c r="E66" s="16" t="str">
        <f t="shared" si="1"/>
        <v>0 h 41 min 01 s</v>
      </c>
      <c r="F66" s="19">
        <f t="shared" ref="F66:G66" si="74">F65*$A$8</f>
        <v>9307018643974</v>
      </c>
      <c r="G66" s="20">
        <f t="shared" si="74"/>
        <v>7445614915179</v>
      </c>
      <c r="H66" s="19" t="str">
        <f t="shared" si="3"/>
        <v>3245 h 37 min 01 s</v>
      </c>
      <c r="I66" s="20" t="str">
        <f t="shared" si="4"/>
        <v>2596 h 29 min 36 s</v>
      </c>
      <c r="J66" s="14" t="str">
        <f t="shared" si="41"/>
        <v>811 d 9 h 33 min 43 s</v>
      </c>
      <c r="L66" s="21">
        <f t="shared" si="6"/>
        <v>11684220.58</v>
      </c>
      <c r="M66" s="21">
        <f t="shared" si="10"/>
        <v>70104823.46</v>
      </c>
      <c r="O66" s="23">
        <f t="shared" si="11"/>
        <v>558421118638</v>
      </c>
    </row>
    <row r="67" ht="15.75" customHeight="1">
      <c r="B67" s="13">
        <v>66.0</v>
      </c>
      <c r="C67" s="16">
        <f t="shared" si="7"/>
        <v>995682.4445</v>
      </c>
      <c r="D67" s="16">
        <f t="shared" si="8"/>
        <v>2548695194</v>
      </c>
      <c r="E67" s="16" t="str">
        <f t="shared" si="1"/>
        <v>0 h 42 min 40 s</v>
      </c>
      <c r="F67" s="19">
        <f t="shared" ref="F67:G67" si="75">F66*$A$8</f>
        <v>13960527965961</v>
      </c>
      <c r="G67" s="20">
        <f t="shared" si="75"/>
        <v>11168422372768</v>
      </c>
      <c r="H67" s="19" t="str">
        <f t="shared" si="3"/>
        <v>3894 h 44 min 25 s</v>
      </c>
      <c r="I67" s="20" t="str">
        <f t="shared" si="4"/>
        <v>3115 h 47 min 32 s</v>
      </c>
      <c r="J67" s="14" t="str">
        <f t="shared" si="41"/>
        <v>973 d 16 h 18 min 08 s</v>
      </c>
      <c r="L67" s="21">
        <f t="shared" si="6"/>
        <v>14021064.69</v>
      </c>
      <c r="M67" s="21">
        <f t="shared" si="10"/>
        <v>84125888.15</v>
      </c>
      <c r="O67" s="23">
        <f t="shared" si="11"/>
        <v>837631677958</v>
      </c>
    </row>
    <row r="68" ht="15.75" customHeight="1">
      <c r="B68" s="13">
        <v>67.0</v>
      </c>
      <c r="C68" s="16">
        <f t="shared" si="7"/>
        <v>1244603.056</v>
      </c>
      <c r="D68" s="16">
        <f t="shared" si="8"/>
        <v>3313303752</v>
      </c>
      <c r="E68" s="16" t="str">
        <f t="shared" si="1"/>
        <v>0 h 44 min 22 s</v>
      </c>
      <c r="F68" s="19">
        <f t="shared" ref="F68:G68" si="76">F67*$A$8</f>
        <v>20940791948941</v>
      </c>
      <c r="G68" s="20">
        <f t="shared" si="76"/>
        <v>16752633559153</v>
      </c>
      <c r="H68" s="19" t="str">
        <f t="shared" si="3"/>
        <v>4673 h 41 min 18 s</v>
      </c>
      <c r="I68" s="20" t="str">
        <f t="shared" si="4"/>
        <v>3738 h 57 min 02 s</v>
      </c>
      <c r="J68" s="14" t="str">
        <f t="shared" si="41"/>
        <v>1168 d 9 h 59 min 26 s</v>
      </c>
      <c r="L68" s="21">
        <f t="shared" si="6"/>
        <v>16825277.63</v>
      </c>
      <c r="M68" s="21">
        <f t="shared" si="10"/>
        <v>100951165.8</v>
      </c>
      <c r="O68" s="23">
        <f t="shared" si="11"/>
        <v>1256447516936</v>
      </c>
    </row>
    <row r="69" ht="15.75" customHeight="1">
      <c r="B69" s="13">
        <v>68.0</v>
      </c>
      <c r="C69" s="16">
        <f t="shared" si="7"/>
        <v>1555753.819</v>
      </c>
      <c r="D69" s="16">
        <f t="shared" si="8"/>
        <v>4307294877</v>
      </c>
      <c r="E69" s="16" t="str">
        <f t="shared" si="1"/>
        <v>0 h 46 min 09 s</v>
      </c>
      <c r="F69" s="19">
        <f t="shared" ref="F69:G69" si="77">F68*$A$8</f>
        <v>31411187923411</v>
      </c>
      <c r="G69" s="20">
        <f t="shared" si="77"/>
        <v>25128950338729</v>
      </c>
      <c r="H69" s="19" t="str">
        <f t="shared" si="3"/>
        <v>5608 h 25 min 33 s</v>
      </c>
      <c r="I69" s="20" t="str">
        <f t="shared" si="4"/>
        <v>4486 h 44 min 27 s</v>
      </c>
      <c r="J69" s="14" t="str">
        <f t="shared" si="41"/>
        <v>1402 d 2 h 24 min 59 s</v>
      </c>
      <c r="L69" s="21">
        <f t="shared" si="6"/>
        <v>20190333.16</v>
      </c>
      <c r="M69" s="21">
        <f t="shared" si="10"/>
        <v>121141498.9</v>
      </c>
      <c r="O69" s="23">
        <f t="shared" si="11"/>
        <v>1884671275405</v>
      </c>
    </row>
    <row r="70" ht="15.75" customHeight="1">
      <c r="B70" s="13">
        <v>69.0</v>
      </c>
      <c r="C70" s="16">
        <f t="shared" si="7"/>
        <v>1944692.274</v>
      </c>
      <c r="D70" s="16">
        <f t="shared" si="8"/>
        <v>5599483340</v>
      </c>
      <c r="E70" s="16" t="str">
        <f t="shared" si="1"/>
        <v>0 h 47 min 59 s</v>
      </c>
      <c r="F70" s="19">
        <f t="shared" ref="F70:G70" si="78">F69*$A$8</f>
        <v>47116781885117</v>
      </c>
      <c r="G70" s="20">
        <f t="shared" si="78"/>
        <v>37693425508093</v>
      </c>
      <c r="H70" s="19" t="str">
        <f t="shared" si="3"/>
        <v>6730 h 06 min 40 s</v>
      </c>
      <c r="I70" s="20" t="str">
        <f t="shared" si="4"/>
        <v>5384 h 05 min 20 s</v>
      </c>
      <c r="J70" s="14" t="str">
        <f t="shared" si="41"/>
        <v>1682 d 12 h 31 min 39 s</v>
      </c>
      <c r="L70" s="21">
        <f t="shared" si="6"/>
        <v>24228399.79</v>
      </c>
      <c r="M70" s="21">
        <f t="shared" si="10"/>
        <v>145369898.7</v>
      </c>
      <c r="O70" s="23">
        <f t="shared" si="11"/>
        <v>2827006913107</v>
      </c>
    </row>
    <row r="71" ht="15.75" customHeight="1">
      <c r="B71" s="13">
        <v>70.0</v>
      </c>
      <c r="C71" s="16">
        <f t="shared" si="7"/>
        <v>2430865.343</v>
      </c>
      <c r="D71" s="16">
        <f t="shared" si="8"/>
        <v>7279328342</v>
      </c>
      <c r="E71" s="16" t="str">
        <f t="shared" si="1"/>
        <v>0 h 49 min 55 s</v>
      </c>
      <c r="F71" s="19">
        <f t="shared" ref="F71:G71" si="79">F70*$A$8</f>
        <v>70675172827675</v>
      </c>
      <c r="G71" s="20">
        <f t="shared" si="79"/>
        <v>56540138262140</v>
      </c>
      <c r="H71" s="19" t="str">
        <f t="shared" si="3"/>
        <v>8076 h 08 min 00 s</v>
      </c>
      <c r="I71" s="20" t="str">
        <f t="shared" si="4"/>
        <v>6460 h 54 min 24 s</v>
      </c>
      <c r="J71" s="14" t="str">
        <f t="shared" si="41"/>
        <v>2019 d 0 h 39 min 38 s</v>
      </c>
      <c r="L71" s="21">
        <f t="shared" si="6"/>
        <v>29074079.74</v>
      </c>
      <c r="M71" s="21">
        <f t="shared" si="10"/>
        <v>174443978.5</v>
      </c>
      <c r="O71" s="23">
        <f t="shared" si="11"/>
        <v>4240510369661</v>
      </c>
    </row>
    <row r="72" ht="15.75" customHeight="1">
      <c r="B72" s="13">
        <v>71.0</v>
      </c>
      <c r="C72" s="16">
        <f t="shared" si="7"/>
        <v>3038581.679</v>
      </c>
      <c r="D72" s="16">
        <f t="shared" si="8"/>
        <v>9463126845</v>
      </c>
      <c r="E72" s="16" t="str">
        <f t="shared" si="1"/>
        <v>0 h 51 min 54 s</v>
      </c>
      <c r="F72" s="19">
        <f t="shared" ref="F72:G72" si="80">F71*$A$8</f>
        <v>106012759241513</v>
      </c>
      <c r="G72" s="20">
        <f t="shared" si="80"/>
        <v>84810207393210</v>
      </c>
      <c r="H72" s="19" t="str">
        <f t="shared" si="3"/>
        <v>9691 h 21 min 36 s</v>
      </c>
      <c r="I72" s="20" t="str">
        <f t="shared" si="4"/>
        <v>7753 h 05 min 17 s</v>
      </c>
      <c r="J72" s="14" t="str">
        <f t="shared" si="41"/>
        <v>2422 d 20 h 01 min 14 s</v>
      </c>
      <c r="L72" s="21">
        <f t="shared" si="6"/>
        <v>34888895.69</v>
      </c>
      <c r="M72" s="21">
        <f t="shared" si="10"/>
        <v>209332874.2</v>
      </c>
      <c r="O72" s="23">
        <f t="shared" si="11"/>
        <v>6360765554491</v>
      </c>
    </row>
    <row r="73" ht="15.75" customHeight="1">
      <c r="B73" s="13">
        <v>72.0</v>
      </c>
      <c r="C73" s="16">
        <f t="shared" si="7"/>
        <v>3798227.098</v>
      </c>
      <c r="D73" s="16">
        <f t="shared" si="8"/>
        <v>12302064899</v>
      </c>
      <c r="E73" s="16" t="str">
        <f t="shared" si="1"/>
        <v>0 h 53 min 59 s</v>
      </c>
      <c r="F73" s="19">
        <f t="shared" ref="F73:G73" si="81">F72*$A$8</f>
        <v>159019138862269</v>
      </c>
      <c r="G73" s="20">
        <f t="shared" si="81"/>
        <v>127215311089815</v>
      </c>
      <c r="H73" s="19" t="str">
        <f t="shared" si="3"/>
        <v>11629 h 37 min 55 s</v>
      </c>
      <c r="I73" s="20" t="str">
        <f t="shared" si="4"/>
        <v>9303 h 42 min 20 s</v>
      </c>
      <c r="J73" s="14" t="str">
        <f t="shared" si="41"/>
        <v>2907 d 9 h 39 min 09 s</v>
      </c>
      <c r="L73" s="21">
        <f t="shared" si="6"/>
        <v>41866674.83</v>
      </c>
      <c r="M73" s="21">
        <f t="shared" si="10"/>
        <v>251199549</v>
      </c>
      <c r="O73" s="23">
        <f t="shared" si="11"/>
        <v>9541148331736</v>
      </c>
    </row>
    <row r="74" ht="15.75" customHeight="1">
      <c r="B74" s="13">
        <v>73.0</v>
      </c>
      <c r="C74" s="16">
        <f t="shared" si="7"/>
        <v>4747783.873</v>
      </c>
      <c r="D74" s="16">
        <f t="shared" si="8"/>
        <v>15992684368</v>
      </c>
      <c r="E74" s="16" t="str">
        <f t="shared" si="1"/>
        <v>0 h 56 min 08 s</v>
      </c>
      <c r="F74" s="19">
        <f t="shared" ref="F74:G74" si="82">F73*$A$8</f>
        <v>238528708293403</v>
      </c>
      <c r="G74" s="20">
        <f t="shared" si="82"/>
        <v>190822966634723</v>
      </c>
      <c r="H74" s="19" t="str">
        <f t="shared" si="3"/>
        <v>13955 h 33 min 30 s</v>
      </c>
      <c r="I74" s="20" t="str">
        <f t="shared" si="4"/>
        <v>11164 h 26 min 48 s</v>
      </c>
      <c r="J74" s="14" t="str">
        <f t="shared" si="41"/>
        <v>3488 d 21 h 12 min 39 s</v>
      </c>
      <c r="L74" s="21">
        <f t="shared" si="6"/>
        <v>50240009.8</v>
      </c>
      <c r="M74" s="21">
        <f t="shared" si="10"/>
        <v>301439558.8</v>
      </c>
      <c r="O74" s="23">
        <f t="shared" si="11"/>
        <v>14311722497604</v>
      </c>
    </row>
    <row r="75" ht="15.75" customHeight="1">
      <c r="B75" s="13">
        <v>74.0</v>
      </c>
      <c r="C75" s="16">
        <f t="shared" si="7"/>
        <v>5934729.841</v>
      </c>
      <c r="D75" s="16">
        <f t="shared" si="8"/>
        <v>20790489679</v>
      </c>
      <c r="E75" s="16" t="str">
        <f t="shared" si="1"/>
        <v>0 h 58 min 23 s</v>
      </c>
      <c r="F75" s="19">
        <f t="shared" ref="F75:G75" si="83">F74*$A$8</f>
        <v>357793062440105</v>
      </c>
      <c r="G75" s="20">
        <f t="shared" si="83"/>
        <v>286234449952084</v>
      </c>
      <c r="H75" s="19" t="str">
        <f t="shared" si="3"/>
        <v>16746 h 40 min 12 s</v>
      </c>
      <c r="I75" s="20" t="str">
        <f t="shared" si="4"/>
        <v>13397 h 20 min 09 s</v>
      </c>
      <c r="J75" s="14" t="str">
        <f t="shared" si="41"/>
        <v>4186 d 15 h 52 min 51 s</v>
      </c>
      <c r="L75" s="21">
        <f t="shared" si="6"/>
        <v>60288011.76</v>
      </c>
      <c r="M75" s="21">
        <f t="shared" si="10"/>
        <v>361727570.5</v>
      </c>
      <c r="O75" s="23">
        <f t="shared" si="11"/>
        <v>21467583746406</v>
      </c>
    </row>
    <row r="76" ht="15.75" customHeight="1">
      <c r="B76" s="13">
        <v>75.0</v>
      </c>
      <c r="C76" s="16">
        <f t="shared" si="7"/>
        <v>7418412.301</v>
      </c>
      <c r="D76" s="16">
        <f t="shared" si="8"/>
        <v>27027636582</v>
      </c>
      <c r="E76" s="16" t="str">
        <f t="shared" si="1"/>
        <v>1 h 00 min 43 s</v>
      </c>
      <c r="F76" s="19">
        <f t="shared" ref="F76:G76" si="84">F75*$A$8</f>
        <v>536689593660158</v>
      </c>
      <c r="G76" s="20">
        <f t="shared" si="84"/>
        <v>429351674928126</v>
      </c>
      <c r="H76" s="19" t="str">
        <f t="shared" si="3"/>
        <v>20096 h 00 min 14 s</v>
      </c>
      <c r="I76" s="20" t="str">
        <f t="shared" si="4"/>
        <v>16076 h 48 min 11 s</v>
      </c>
      <c r="J76" s="14" t="str">
        <f t="shared" si="41"/>
        <v>5023 d 23 h 53 min 05 s</v>
      </c>
      <c r="L76" s="21">
        <f t="shared" si="6"/>
        <v>72345614.11</v>
      </c>
      <c r="M76" s="21">
        <f t="shared" si="10"/>
        <v>434073184.7</v>
      </c>
      <c r="O76" s="23">
        <f t="shared" si="11"/>
        <v>32201375619610</v>
      </c>
    </row>
    <row r="77" ht="15.75" customHeight="1">
      <c r="B77" s="13">
        <v>76.0</v>
      </c>
      <c r="C77" s="16">
        <f t="shared" si="7"/>
        <v>9273015.377</v>
      </c>
      <c r="D77" s="16">
        <f t="shared" si="8"/>
        <v>35135927557</v>
      </c>
      <c r="E77" s="16" t="str">
        <f t="shared" si="1"/>
        <v>1 h 03 min 09 s</v>
      </c>
      <c r="F77" s="19">
        <f t="shared" ref="F77:G77" si="85">F76*$A$8</f>
        <v>805034390490237</v>
      </c>
      <c r="G77" s="20">
        <f t="shared" si="85"/>
        <v>644027512392189</v>
      </c>
      <c r="H77" s="19" t="str">
        <f t="shared" si="3"/>
        <v>24115 h 12 min 17 s</v>
      </c>
      <c r="I77" s="20" t="str">
        <f t="shared" si="4"/>
        <v>19292 h 09 min 50 s</v>
      </c>
      <c r="J77" s="14" t="str">
        <f t="shared" si="41"/>
        <v>6028 d 19 h 05 min 22 s</v>
      </c>
      <c r="L77" s="21">
        <f t="shared" si="6"/>
        <v>86814736.93</v>
      </c>
      <c r="M77" s="21">
        <f t="shared" si="10"/>
        <v>520887921.6</v>
      </c>
      <c r="O77" s="23">
        <f t="shared" si="11"/>
        <v>48302063429414</v>
      </c>
    </row>
    <row r="78" ht="15.75" customHeight="1">
      <c r="B78" s="13">
        <v>77.0</v>
      </c>
      <c r="C78" s="16">
        <f t="shared" si="7"/>
        <v>11591269.22</v>
      </c>
      <c r="D78" s="16">
        <f t="shared" si="8"/>
        <v>45676705824</v>
      </c>
      <c r="E78" s="16" t="str">
        <f t="shared" si="1"/>
        <v>1 h 05 min 41 s</v>
      </c>
      <c r="F78" s="19">
        <f t="shared" ref="F78:G78" si="86">F77*$A$8</f>
        <v>1.20755E+15</v>
      </c>
      <c r="G78" s="20">
        <f t="shared" si="86"/>
        <v>966041268588283</v>
      </c>
      <c r="H78" s="19" t="str">
        <f t="shared" si="3"/>
        <v>28938 h 14 min 44 s</v>
      </c>
      <c r="I78" s="20" t="str">
        <f t="shared" si="4"/>
        <v>23150 h 35 min 47 s</v>
      </c>
      <c r="J78" s="14" t="str">
        <f t="shared" si="41"/>
        <v>7234 d 13 h 20 min 06 s</v>
      </c>
      <c r="L78" s="21">
        <f t="shared" si="6"/>
        <v>104177684.3</v>
      </c>
      <c r="M78" s="21">
        <f t="shared" si="10"/>
        <v>625065605.9</v>
      </c>
      <c r="O78" s="23">
        <f t="shared" si="11"/>
        <v>72453095144121</v>
      </c>
    </row>
    <row r="79" ht="15.75" customHeight="1">
      <c r="B79" s="13">
        <v>78.0</v>
      </c>
      <c r="C79" s="16">
        <f t="shared" si="7"/>
        <v>14489086.53</v>
      </c>
      <c r="D79" s="16">
        <f t="shared" si="8"/>
        <v>59379717572</v>
      </c>
      <c r="E79" s="16" t="str">
        <f t="shared" si="1"/>
        <v>1 h 08 min 18 s</v>
      </c>
      <c r="F79" s="19">
        <f t="shared" ref="F79:G79" si="87">F78*$A$8</f>
        <v>1.81133E+15</v>
      </c>
      <c r="G79" s="20">
        <f t="shared" si="87"/>
        <v>1.44906E+15</v>
      </c>
      <c r="H79" s="19" t="str">
        <f t="shared" si="3"/>
        <v>34725 h 53 min 41 s</v>
      </c>
      <c r="I79" s="20" t="str">
        <f t="shared" si="4"/>
        <v>27780 h 42 min 57 s</v>
      </c>
      <c r="J79" s="14" t="str">
        <f t="shared" si="41"/>
        <v>8681 d 11 h 13 min 47 s</v>
      </c>
      <c r="L79" s="21">
        <f t="shared" si="6"/>
        <v>125013221.2</v>
      </c>
      <c r="M79" s="21">
        <f t="shared" si="10"/>
        <v>750078827.1</v>
      </c>
      <c r="O79" s="23">
        <f t="shared" si="11"/>
        <v>108679642716182</v>
      </c>
    </row>
    <row r="80" ht="15.75" customHeight="1">
      <c r="B80" s="13">
        <v>79.0</v>
      </c>
      <c r="C80" s="16">
        <f t="shared" si="7"/>
        <v>18111358.16</v>
      </c>
      <c r="D80" s="16">
        <f t="shared" si="8"/>
        <v>77193632843</v>
      </c>
      <c r="E80" s="16" t="str">
        <f t="shared" si="1"/>
        <v>1 h 11 min 02 s</v>
      </c>
      <c r="F80" s="19">
        <f t="shared" ref="F80:G80" si="88">F79*$A$8</f>
        <v>2.71699E+15</v>
      </c>
      <c r="G80" s="20">
        <f t="shared" si="88"/>
        <v>2.17359E+15</v>
      </c>
      <c r="H80" s="19" t="str">
        <f t="shared" si="3"/>
        <v>41671 h 04 min 25 s</v>
      </c>
      <c r="I80" s="20" t="str">
        <f t="shared" si="4"/>
        <v>33336 h 51 min 32 s</v>
      </c>
      <c r="J80" s="14" t="str">
        <f t="shared" si="41"/>
        <v>10417 d 18 h 18 min 13 s</v>
      </c>
      <c r="L80" s="21">
        <f t="shared" si="6"/>
        <v>150015865.4</v>
      </c>
      <c r="M80" s="21">
        <f t="shared" si="10"/>
        <v>900094692.5</v>
      </c>
      <c r="O80" s="23">
        <f t="shared" si="11"/>
        <v>163019464074273</v>
      </c>
    </row>
    <row r="81" ht="15.75" customHeight="1">
      <c r="B81" s="13">
        <v>80.0</v>
      </c>
      <c r="C81" s="16">
        <f t="shared" si="7"/>
        <v>22639197.7</v>
      </c>
      <c r="D81" s="16">
        <f t="shared" si="8"/>
        <v>100351722696</v>
      </c>
      <c r="E81" s="16" t="str">
        <f t="shared" si="1"/>
        <v>1 h 13 min 53 s</v>
      </c>
      <c r="F81" s="19">
        <f t="shared" ref="F81:G81" si="89">F80*$A$8</f>
        <v>4.07549E+15</v>
      </c>
      <c r="G81" s="20">
        <f t="shared" si="89"/>
        <v>3.26039E+15</v>
      </c>
      <c r="H81" s="19" t="str">
        <f t="shared" si="3"/>
        <v>50005 h 17 min 19 s</v>
      </c>
      <c r="I81" s="20" t="str">
        <f t="shared" si="4"/>
        <v>40004 h 13 min 51 s</v>
      </c>
      <c r="J81" s="14" t="str">
        <f t="shared" si="41"/>
        <v>12501 d 7 h 35 min 31 s</v>
      </c>
      <c r="L81" s="21">
        <f t="shared" si="6"/>
        <v>180019038.5</v>
      </c>
      <c r="M81" s="21">
        <f t="shared" si="10"/>
        <v>1080113731</v>
      </c>
      <c r="O81" s="23">
        <f t="shared" si="11"/>
        <v>244529196111409</v>
      </c>
    </row>
    <row r="82" ht="15.75" customHeight="1">
      <c r="B82" s="13">
        <v>81.0</v>
      </c>
      <c r="C82" s="16">
        <f t="shared" si="7"/>
        <v>28298997.12</v>
      </c>
      <c r="D82" s="16">
        <f t="shared" si="8"/>
        <v>130457239505</v>
      </c>
      <c r="E82" s="16" t="str">
        <f t="shared" si="1"/>
        <v>1 h 16 min 50 s</v>
      </c>
      <c r="F82" s="19">
        <f t="shared" ref="F82:G82" si="90">F81*$A$8</f>
        <v>6.11323E+15</v>
      </c>
      <c r="G82" s="20">
        <f t="shared" si="90"/>
        <v>4.89058E+15</v>
      </c>
      <c r="H82" s="19" t="str">
        <f t="shared" si="3"/>
        <v>60006 h 20 min 46 s</v>
      </c>
      <c r="I82" s="20" t="str">
        <f t="shared" si="4"/>
        <v>48005 h 04 min 37 s</v>
      </c>
      <c r="J82" s="14" t="str">
        <f t="shared" si="41"/>
        <v>15001 d 13 h 56 min 17 s</v>
      </c>
      <c r="L82" s="21">
        <f t="shared" si="6"/>
        <v>216022846.2</v>
      </c>
      <c r="M82" s="21">
        <f t="shared" si="10"/>
        <v>1296136577</v>
      </c>
      <c r="O82" s="23">
        <f t="shared" si="11"/>
        <v>366793794167114</v>
      </c>
    </row>
    <row r="83" ht="15.75" customHeight="1">
      <c r="B83" s="13">
        <v>82.0</v>
      </c>
      <c r="C83" s="16">
        <f t="shared" si="7"/>
        <v>35373746.4</v>
      </c>
      <c r="D83" s="16">
        <f t="shared" si="8"/>
        <v>169594411357</v>
      </c>
      <c r="E83" s="16" t="str">
        <f t="shared" si="1"/>
        <v>1 h 19 min 54 s</v>
      </c>
      <c r="F83" s="19">
        <f t="shared" ref="F83:G83" si="91">F82*$A$8</f>
        <v>9.16984E+15</v>
      </c>
      <c r="G83" s="20">
        <f t="shared" si="91"/>
        <v>7.33588E+15</v>
      </c>
      <c r="H83" s="19" t="str">
        <f t="shared" si="3"/>
        <v>72007 h 36 min 55 s</v>
      </c>
      <c r="I83" s="20" t="str">
        <f t="shared" si="4"/>
        <v>57606 h 05 min 32 s</v>
      </c>
      <c r="J83" s="14" t="str">
        <f t="shared" si="41"/>
        <v>18001 d 21 h 33 min 13 s</v>
      </c>
      <c r="L83" s="21">
        <f t="shared" si="6"/>
        <v>259227415.4</v>
      </c>
      <c r="M83" s="21">
        <f t="shared" si="10"/>
        <v>1555363993</v>
      </c>
      <c r="O83" s="23">
        <f t="shared" si="11"/>
        <v>550190691250671</v>
      </c>
    </row>
    <row r="84" ht="15.75" customHeight="1">
      <c r="B84" s="13">
        <v>83.0</v>
      </c>
      <c r="C84" s="16">
        <f t="shared" si="7"/>
        <v>44217183</v>
      </c>
      <c r="D84" s="16">
        <f t="shared" si="8"/>
        <v>220472734764</v>
      </c>
      <c r="E84" s="16" t="str">
        <f t="shared" si="1"/>
        <v>1 h 23 min 06 s</v>
      </c>
      <c r="F84" s="19">
        <f t="shared" ref="F84:G84" si="92">F83*$A$8</f>
        <v>1.37548E+16</v>
      </c>
      <c r="G84" s="20">
        <f t="shared" si="92"/>
        <v>1.10038E+16</v>
      </c>
      <c r="H84" s="19" t="str">
        <f t="shared" si="3"/>
        <v>86409 h 08 min 19 s</v>
      </c>
      <c r="I84" s="20" t="str">
        <f t="shared" si="4"/>
        <v>69127 h 18 min 39 s</v>
      </c>
      <c r="J84" s="14" t="str">
        <f t="shared" si="41"/>
        <v>21602 d 6 h 41 min 31 s</v>
      </c>
      <c r="L84" s="21">
        <f t="shared" si="6"/>
        <v>311072898.5</v>
      </c>
      <c r="M84" s="21">
        <f t="shared" si="10"/>
        <v>1866436891</v>
      </c>
      <c r="O84" s="23">
        <f t="shared" si="11"/>
        <v>825286036876007</v>
      </c>
    </row>
    <row r="85" ht="15.75" customHeight="1">
      <c r="B85" s="13">
        <v>84.0</v>
      </c>
      <c r="C85" s="16">
        <f t="shared" si="7"/>
        <v>55271478.75</v>
      </c>
      <c r="D85" s="16">
        <f t="shared" si="8"/>
        <v>286614555193</v>
      </c>
      <c r="E85" s="16" t="str">
        <f t="shared" si="1"/>
        <v>1 h 26 min 26 s</v>
      </c>
      <c r="F85" s="19">
        <f t="shared" ref="F85:G85" si="93">F84*$A$8</f>
        <v>2.06322E+16</v>
      </c>
      <c r="G85" s="20">
        <f t="shared" si="93"/>
        <v>1.65057E+16</v>
      </c>
      <c r="H85" s="19" t="str">
        <f t="shared" si="3"/>
        <v>103690 h 57 min 58 s</v>
      </c>
      <c r="I85" s="20" t="str">
        <f t="shared" si="4"/>
        <v>82952 h 46 min 23 s</v>
      </c>
      <c r="J85" s="14" t="str">
        <f t="shared" si="41"/>
        <v>25922 d 17 h 39 min 29 s</v>
      </c>
      <c r="L85" s="21">
        <f t="shared" si="6"/>
        <v>373287478.2</v>
      </c>
      <c r="M85" s="21">
        <f t="shared" si="10"/>
        <v>2239724369</v>
      </c>
      <c r="O85" s="23">
        <f t="shared" si="11"/>
        <v>1.23793E+15</v>
      </c>
    </row>
    <row r="86" ht="15.75" customHeight="1">
      <c r="B86" s="13">
        <v>85.0</v>
      </c>
      <c r="C86" s="16">
        <f t="shared" si="7"/>
        <v>69089348.44</v>
      </c>
      <c r="D86" s="16">
        <f t="shared" si="8"/>
        <v>372598921751</v>
      </c>
      <c r="E86" s="16" t="str">
        <f t="shared" si="1"/>
        <v>1 h 29 min 53 s</v>
      </c>
      <c r="F86" s="19">
        <f t="shared" ref="F86:G86" si="94">F85*$A$8</f>
        <v>3.09482E+16</v>
      </c>
      <c r="G86" s="20">
        <f t="shared" si="94"/>
        <v>2.47586E+16</v>
      </c>
      <c r="H86" s="19" t="str">
        <f t="shared" si="3"/>
        <v>124429 h 09 min 34 s</v>
      </c>
      <c r="I86" s="20" t="str">
        <f t="shared" si="4"/>
        <v>99543 h 19 min 39 s</v>
      </c>
      <c r="J86" s="14" t="str">
        <f t="shared" si="41"/>
        <v>31107 d 6 h 49 min 03 s</v>
      </c>
      <c r="L86" s="21">
        <f t="shared" si="6"/>
        <v>447944973.9</v>
      </c>
      <c r="M86" s="21">
        <f t="shared" si="10"/>
        <v>2687669343</v>
      </c>
      <c r="O86" s="23">
        <f t="shared" si="11"/>
        <v>1.85689E+15</v>
      </c>
    </row>
    <row r="87" ht="15.75" customHeight="1">
      <c r="B87" s="13">
        <v>86.0</v>
      </c>
      <c r="C87" s="16">
        <f t="shared" si="7"/>
        <v>86361685.55</v>
      </c>
      <c r="D87" s="16">
        <f t="shared" si="8"/>
        <v>484378598276</v>
      </c>
      <c r="E87" s="16" t="str">
        <f t="shared" si="1"/>
        <v>1 h 33 min 29 s</v>
      </c>
      <c r="F87" s="19">
        <f t="shared" ref="F87:G87" si="95">F86*$A$8</f>
        <v>4.64223E+16</v>
      </c>
      <c r="G87" s="20">
        <f t="shared" si="95"/>
        <v>3.71379E+16</v>
      </c>
      <c r="H87" s="19" t="str">
        <f t="shared" si="3"/>
        <v>149314 h 59 min 29 s</v>
      </c>
      <c r="I87" s="20" t="str">
        <f t="shared" si="4"/>
        <v>119451 h 59 min 35 s</v>
      </c>
      <c r="J87" s="14" t="str">
        <f t="shared" si="41"/>
        <v>37328 d 17 h 48 min 32 s</v>
      </c>
      <c r="L87" s="21">
        <f t="shared" si="6"/>
        <v>537533968.7</v>
      </c>
      <c r="M87" s="21">
        <f t="shared" si="10"/>
        <v>3225203312</v>
      </c>
      <c r="O87" s="23">
        <f t="shared" si="11"/>
        <v>2.78534E+15</v>
      </c>
    </row>
    <row r="88" ht="15.75" customHeight="1">
      <c r="B88" s="13">
        <v>87.0</v>
      </c>
      <c r="C88" s="16">
        <f t="shared" si="7"/>
        <v>107952106.9</v>
      </c>
      <c r="D88" s="16">
        <f t="shared" si="8"/>
        <v>629692177759</v>
      </c>
      <c r="E88" s="16" t="str">
        <f t="shared" si="1"/>
        <v>1 h 37 min 13 s</v>
      </c>
      <c r="F88" s="19">
        <f t="shared" ref="F88:G88" si="96">F87*$A$8</f>
        <v>6.96335E+16</v>
      </c>
      <c r="G88" s="20">
        <f t="shared" si="96"/>
        <v>5.57068E+16</v>
      </c>
      <c r="H88" s="19" t="str">
        <f t="shared" si="3"/>
        <v>179177 h 59 min 22 s</v>
      </c>
      <c r="I88" s="20" t="str">
        <f t="shared" si="4"/>
        <v>143342 h 23 min 30 s</v>
      </c>
      <c r="J88" s="14" t="str">
        <f t="shared" si="41"/>
        <v>44794 d 11 h 47 min 54 s</v>
      </c>
      <c r="L88" s="21">
        <f t="shared" si="6"/>
        <v>645040762.4</v>
      </c>
      <c r="M88" s="21">
        <f t="shared" si="10"/>
        <v>3870244074</v>
      </c>
      <c r="O88" s="23">
        <f t="shared" si="11"/>
        <v>4.17801E+15</v>
      </c>
    </row>
    <row r="89" ht="15.75" customHeight="1">
      <c r="B89" s="13">
        <v>88.0</v>
      </c>
      <c r="C89" s="16">
        <f t="shared" si="7"/>
        <v>134940133.7</v>
      </c>
      <c r="D89" s="16">
        <f t="shared" si="8"/>
        <v>818599831086</v>
      </c>
      <c r="E89" s="16" t="str">
        <f t="shared" si="1"/>
        <v>1 h 41 min 06 s</v>
      </c>
      <c r="F89" s="19">
        <f t="shared" ref="F89:G89" si="97">F88*$A$8</f>
        <v>1.0445E+17</v>
      </c>
      <c r="G89" s="20">
        <f t="shared" si="97"/>
        <v>8.35602E+16</v>
      </c>
      <c r="H89" s="19" t="str">
        <f t="shared" si="3"/>
        <v>215013 h 35 min 15 s</v>
      </c>
      <c r="I89" s="20" t="str">
        <f t="shared" si="4"/>
        <v>172010 h 52 min 12 s</v>
      </c>
      <c r="J89" s="14" t="str">
        <f t="shared" si="41"/>
        <v>53753 d 9 h 23 min 09 s</v>
      </c>
      <c r="L89" s="21">
        <f t="shared" si="6"/>
        <v>774048914.9</v>
      </c>
      <c r="M89" s="21">
        <f t="shared" si="10"/>
        <v>4644292989</v>
      </c>
      <c r="O89" s="23">
        <f t="shared" si="11"/>
        <v>6.26702E+15</v>
      </c>
    </row>
    <row r="90" ht="15.75" customHeight="1">
      <c r="B90" s="13">
        <v>89.0</v>
      </c>
      <c r="C90" s="16">
        <f t="shared" si="7"/>
        <v>168675167.1</v>
      </c>
      <c r="D90" s="16">
        <f t="shared" si="8"/>
        <v>1064179780412</v>
      </c>
      <c r="E90" s="16" t="str">
        <f t="shared" si="1"/>
        <v>1 h 45 min 09 s</v>
      </c>
      <c r="F90" s="19">
        <f t="shared" ref="F90:G90" si="98">F89*$A$8</f>
        <v>1.56675E+17</v>
      </c>
      <c r="G90" s="20">
        <f t="shared" si="98"/>
        <v>1.2534E+17</v>
      </c>
      <c r="H90" s="19" t="str">
        <f t="shared" si="3"/>
        <v>258016 h 18 min 18 s</v>
      </c>
      <c r="I90" s="20" t="str">
        <f t="shared" si="4"/>
        <v>206413 h 02 min 38 s</v>
      </c>
      <c r="J90" s="14" t="str">
        <f t="shared" si="41"/>
        <v>64504 d 1 h 41 min 27 s</v>
      </c>
      <c r="L90" s="21">
        <f t="shared" si="6"/>
        <v>928858697.8</v>
      </c>
      <c r="M90" s="21">
        <f t="shared" si="10"/>
        <v>5573151687</v>
      </c>
      <c r="O90" s="23">
        <f t="shared" si="11"/>
        <v>9.40052E+15</v>
      </c>
    </row>
    <row r="91" ht="15.75" customHeight="1">
      <c r="B91" s="13">
        <v>90.0</v>
      </c>
      <c r="C91" s="16">
        <f t="shared" si="7"/>
        <v>210843958.9</v>
      </c>
      <c r="D91" s="16">
        <f t="shared" si="8"/>
        <v>1383433714535</v>
      </c>
      <c r="E91" s="16" t="str">
        <f t="shared" si="1"/>
        <v>1 h 49 min 21 s</v>
      </c>
      <c r="F91" s="19">
        <f t="shared" ref="F91:G91" si="99">F90*$A$8</f>
        <v>2.35013E+17</v>
      </c>
      <c r="G91" s="20">
        <f t="shared" si="99"/>
        <v>1.8801E+17</v>
      </c>
      <c r="H91" s="19" t="str">
        <f t="shared" si="3"/>
        <v>309619 h 33 min 57 s</v>
      </c>
      <c r="I91" s="20" t="str">
        <f t="shared" si="4"/>
        <v>247695 h 39 min 10 s</v>
      </c>
      <c r="J91" s="14" t="str">
        <f t="shared" si="41"/>
        <v>77404 d 21 h 15 min 24 s</v>
      </c>
      <c r="L91" s="21">
        <f t="shared" si="6"/>
        <v>1114630437</v>
      </c>
      <c r="M91" s="21">
        <f t="shared" si="10"/>
        <v>6687782124</v>
      </c>
      <c r="O91" s="23">
        <f t="shared" si="11"/>
        <v>1.41008E+16</v>
      </c>
    </row>
    <row r="92" ht="15.75" customHeight="1">
      <c r="B92" s="13">
        <v>91.0</v>
      </c>
      <c r="C92" s="16">
        <f t="shared" si="7"/>
        <v>263554948.6</v>
      </c>
      <c r="D92" s="16">
        <f t="shared" si="8"/>
        <v>1798463828896</v>
      </c>
      <c r="E92" s="16" t="str">
        <f t="shared" si="1"/>
        <v>1 h 53 min 44 s</v>
      </c>
      <c r="F92" s="19">
        <f t="shared" ref="F92:G92" si="100">F91*$A$8</f>
        <v>3.5252E+17</v>
      </c>
      <c r="G92" s="20">
        <f t="shared" si="100"/>
        <v>2.82016E+17</v>
      </c>
      <c r="H92" s="19" t="str">
        <f t="shared" si="3"/>
        <v>371543 h 28 min 45 s</v>
      </c>
      <c r="I92" s="20" t="str">
        <f t="shared" si="4"/>
        <v>297234 h 47 min 00 s</v>
      </c>
      <c r="J92" s="14" t="str">
        <f t="shared" si="41"/>
        <v>92885 d 20 h 44 min 09 s</v>
      </c>
      <c r="L92" s="21">
        <f t="shared" si="6"/>
        <v>1337556525</v>
      </c>
      <c r="M92" s="21">
        <f t="shared" si="10"/>
        <v>8025338649</v>
      </c>
      <c r="O92" s="23">
        <f t="shared" si="11"/>
        <v>2.11512E+16</v>
      </c>
    </row>
    <row r="93" ht="15.75" customHeight="1">
      <c r="B93" s="13">
        <v>92.0</v>
      </c>
      <c r="C93" s="16">
        <f t="shared" si="7"/>
        <v>329443685.7</v>
      </c>
      <c r="D93" s="16">
        <f t="shared" si="8"/>
        <v>2338002977565</v>
      </c>
      <c r="E93" s="16" t="str">
        <f t="shared" si="1"/>
        <v>1 h 58 min 17 s</v>
      </c>
      <c r="F93" s="19">
        <f t="shared" ref="F93:G93" si="101">F92*$A$8</f>
        <v>5.28779E+17</v>
      </c>
      <c r="G93" s="20">
        <f t="shared" si="101"/>
        <v>4.23024E+17</v>
      </c>
      <c r="H93" s="19" t="str">
        <f t="shared" si="3"/>
        <v>445852 h 10 min 30 s</v>
      </c>
      <c r="I93" s="20" t="str">
        <f t="shared" si="4"/>
        <v>356681 h 44 min 24 s</v>
      </c>
      <c r="J93" s="14" t="str">
        <f t="shared" si="41"/>
        <v>111463 d 0 h 54 min 39 s</v>
      </c>
      <c r="L93" s="21">
        <f t="shared" si="6"/>
        <v>1605067830</v>
      </c>
      <c r="M93" s="21">
        <f t="shared" si="10"/>
        <v>9630406479</v>
      </c>
      <c r="O93" s="23">
        <f t="shared" si="11"/>
        <v>3.17268E+16</v>
      </c>
    </row>
    <row r="94" ht="15.75" customHeight="1">
      <c r="B94" s="13">
        <v>93.0</v>
      </c>
      <c r="C94" s="16">
        <f t="shared" si="7"/>
        <v>411804607.2</v>
      </c>
      <c r="D94" s="16">
        <f t="shared" si="8"/>
        <v>3039403870834</v>
      </c>
      <c r="E94" s="16" t="str">
        <f t="shared" si="1"/>
        <v>2 h 03 min 01 s</v>
      </c>
      <c r="F94" s="19">
        <f t="shared" ref="F94:G94" si="102">F93*$A$8</f>
        <v>7.93169E+17</v>
      </c>
      <c r="G94" s="20">
        <f t="shared" si="102"/>
        <v>6.34535E+17</v>
      </c>
      <c r="H94" s="19" t="str">
        <f t="shared" si="3"/>
        <v>535022 h 36 min 36 s</v>
      </c>
      <c r="I94" s="20" t="str">
        <f t="shared" si="4"/>
        <v>428018 h 05 min 17 s</v>
      </c>
      <c r="J94" s="14" t="str">
        <f t="shared" si="41"/>
        <v>133755 d 15 h 31 min 15 s</v>
      </c>
      <c r="L94" s="21">
        <f t="shared" si="6"/>
        <v>1926081396</v>
      </c>
      <c r="M94" s="21">
        <f t="shared" si="10"/>
        <v>11556487875</v>
      </c>
      <c r="O94" s="23">
        <f t="shared" si="11"/>
        <v>4.75902E+16</v>
      </c>
    </row>
    <row r="95" ht="15.75" customHeight="1">
      <c r="B95" s="13">
        <v>94.0</v>
      </c>
      <c r="C95" s="16">
        <f t="shared" si="7"/>
        <v>514755758.9</v>
      </c>
      <c r="D95" s="16">
        <f t="shared" si="8"/>
        <v>3951225032085</v>
      </c>
      <c r="E95" s="16" t="str">
        <f t="shared" si="1"/>
        <v>2 h 07 min 56 s</v>
      </c>
      <c r="F95" s="19">
        <f t="shared" ref="F95:G95" si="103">F94*$A$8</f>
        <v>1.18975E+18</v>
      </c>
      <c r="G95" s="20">
        <f t="shared" si="103"/>
        <v>9.51803E+17</v>
      </c>
      <c r="H95" s="19" t="str">
        <f t="shared" si="3"/>
        <v>642027 h 07 min 55 s</v>
      </c>
      <c r="I95" s="20" t="str">
        <f t="shared" si="4"/>
        <v>513621 h 42 min 20 s</v>
      </c>
      <c r="J95" s="14" t="str">
        <f t="shared" si="41"/>
        <v>160506 d 18 h 39 min 10 s</v>
      </c>
      <c r="L95" s="21">
        <f t="shared" si="6"/>
        <v>2311297675</v>
      </c>
      <c r="M95" s="21">
        <f t="shared" si="10"/>
        <v>13867785550</v>
      </c>
      <c r="O95" s="23">
        <f t="shared" si="11"/>
        <v>7.13852E+16</v>
      </c>
    </row>
    <row r="96" ht="15.75" customHeight="1">
      <c r="B96" s="13">
        <v>95.0</v>
      </c>
      <c r="C96" s="16">
        <f t="shared" si="7"/>
        <v>643444698.7</v>
      </c>
      <c r="D96" s="16">
        <f t="shared" si="8"/>
        <v>5136592541710</v>
      </c>
      <c r="E96" s="16" t="str">
        <f t="shared" si="1"/>
        <v>2 h 13 min 03 s</v>
      </c>
      <c r="F96" s="19">
        <f t="shared" ref="F96:G96" si="104">F95*$A$8</f>
        <v>1.78463E+18</v>
      </c>
      <c r="G96" s="20">
        <f t="shared" si="104"/>
        <v>1.4277E+18</v>
      </c>
      <c r="H96" s="19" t="str">
        <f t="shared" si="3"/>
        <v>770432 h 33 min 30 s</v>
      </c>
      <c r="I96" s="20" t="str">
        <f t="shared" si="4"/>
        <v>616346 h 02 min 48 s</v>
      </c>
      <c r="J96" s="14" t="str">
        <f t="shared" si="41"/>
        <v>192608 d 3 h 12 min 40 s</v>
      </c>
      <c r="L96" s="21">
        <f t="shared" si="6"/>
        <v>2773557210</v>
      </c>
      <c r="M96" s="21">
        <f t="shared" si="10"/>
        <v>16641342760</v>
      </c>
      <c r="O96" s="23">
        <f t="shared" si="11"/>
        <v>1.07078E+17</v>
      </c>
    </row>
    <row r="97" ht="15.75" customHeight="1">
      <c r="B97" s="13">
        <v>96.0</v>
      </c>
      <c r="C97" s="16">
        <f t="shared" si="7"/>
        <v>804305873.4</v>
      </c>
      <c r="D97" s="16">
        <f t="shared" si="8"/>
        <v>6677570304223</v>
      </c>
      <c r="E97" s="16" t="str">
        <f t="shared" si="1"/>
        <v>2 h 18 min 22 s</v>
      </c>
      <c r="F97" s="19">
        <f t="shared" ref="F97:G97" si="105">F96*$A$8</f>
        <v>2.67695E+18</v>
      </c>
      <c r="G97" s="20">
        <f t="shared" si="105"/>
        <v>2.14156E+18</v>
      </c>
      <c r="H97" s="19" t="str">
        <f t="shared" si="3"/>
        <v>924519 h 04 min 12 s</v>
      </c>
      <c r="I97" s="20" t="str">
        <f t="shared" si="4"/>
        <v>739615 h 15 min 22 s</v>
      </c>
      <c r="J97" s="14" t="str">
        <f t="shared" si="41"/>
        <v>231129 d 18 h 16 min 52 s</v>
      </c>
      <c r="L97" s="21">
        <f t="shared" si="6"/>
        <v>3328268652</v>
      </c>
      <c r="M97" s="21">
        <f t="shared" si="10"/>
        <v>19969611412</v>
      </c>
      <c r="O97" s="23">
        <f t="shared" si="11"/>
        <v>1.60617E+17</v>
      </c>
    </row>
    <row r="98" ht="15.75" customHeight="1">
      <c r="B98" s="13">
        <v>97.0</v>
      </c>
      <c r="C98" s="16">
        <f t="shared" si="7"/>
        <v>1005382342</v>
      </c>
      <c r="D98" s="16">
        <f t="shared" si="8"/>
        <v>8680841395490</v>
      </c>
      <c r="E98" s="16" t="str">
        <f t="shared" si="1"/>
        <v>2 h 23 min 54 s</v>
      </c>
      <c r="F98" s="19">
        <f t="shared" ref="F98:G98" si="106">F97*$A$8</f>
        <v>4.01542E+18</v>
      </c>
      <c r="G98" s="20">
        <f t="shared" si="106"/>
        <v>3.21234E+18</v>
      </c>
      <c r="H98" s="19" t="str">
        <f t="shared" si="3"/>
        <v>1109422 h 53 min 02 s</v>
      </c>
      <c r="I98" s="20" t="str">
        <f t="shared" si="4"/>
        <v>887538 h 18 min 26 s</v>
      </c>
      <c r="J98" s="14" t="str">
        <f t="shared" si="41"/>
        <v>277355 d 17 h 09 min 55 s</v>
      </c>
      <c r="L98" s="21">
        <f t="shared" si="6"/>
        <v>3993922382</v>
      </c>
      <c r="M98" s="21">
        <f t="shared" si="10"/>
        <v>23963533795</v>
      </c>
      <c r="O98" s="23">
        <f t="shared" si="11"/>
        <v>2.40925E+17</v>
      </c>
    </row>
    <row r="99" ht="15.75" customHeight="1">
      <c r="B99" s="13">
        <v>98.0</v>
      </c>
      <c r="C99" s="16">
        <f t="shared" si="7"/>
        <v>1256727927</v>
      </c>
      <c r="D99" s="16">
        <f t="shared" si="8"/>
        <v>11285093814137</v>
      </c>
      <c r="E99" s="16" t="str">
        <f t="shared" si="1"/>
        <v>2 h 29 min 40 s</v>
      </c>
      <c r="F99" s="19">
        <f t="shared" ref="F99:G99" si="107">F98*$A$8</f>
        <v>6.02313E+18</v>
      </c>
      <c r="G99" s="20">
        <f t="shared" si="107"/>
        <v>4.8185E+18</v>
      </c>
      <c r="H99" s="19" t="str">
        <f t="shared" si="3"/>
        <v>1331307 h 27 min 39 s</v>
      </c>
      <c r="I99" s="20" t="str">
        <f t="shared" si="4"/>
        <v>1065045 h 58 min 07 s</v>
      </c>
      <c r="J99" s="14" t="str">
        <f t="shared" si="41"/>
        <v>332826 d 20 h 37 min 33 s</v>
      </c>
      <c r="L99" s="21">
        <f t="shared" si="6"/>
        <v>4792706859</v>
      </c>
      <c r="M99" s="21">
        <f t="shared" si="10"/>
        <v>28756240653</v>
      </c>
      <c r="O99" s="23">
        <f t="shared" si="11"/>
        <v>3.61388E+17</v>
      </c>
    </row>
    <row r="100" ht="15.75" customHeight="1">
      <c r="B100" s="13">
        <v>99.0</v>
      </c>
      <c r="C100" s="16">
        <f t="shared" si="7"/>
        <v>1570909909</v>
      </c>
      <c r="D100" s="16">
        <f t="shared" si="8"/>
        <v>14670621958379</v>
      </c>
      <c r="E100" s="16" t="str">
        <f t="shared" si="1"/>
        <v>2 h 35 min 39 s</v>
      </c>
      <c r="F100" s="19">
        <f t="shared" ref="F100:G100" si="108">F99*$A$8</f>
        <v>9.03469E+18</v>
      </c>
      <c r="G100" s="20">
        <f t="shared" si="108"/>
        <v>7.22775E+18</v>
      </c>
      <c r="H100" s="19" t="str">
        <f t="shared" si="3"/>
        <v>1597568 h 57 min 11 s</v>
      </c>
      <c r="I100" s="20" t="str">
        <f t="shared" si="4"/>
        <v>1278055 h 09 min 45 s</v>
      </c>
      <c r="J100" s="14" t="str">
        <f t="shared" si="41"/>
        <v>399392 d 5 h 34 min 44 s</v>
      </c>
      <c r="L100" s="21">
        <f t="shared" si="6"/>
        <v>5751248231</v>
      </c>
      <c r="M100" s="21">
        <f t="shared" si="10"/>
        <v>34507488884</v>
      </c>
      <c r="O100" s="23">
        <f t="shared" si="11"/>
        <v>5.42082E+17</v>
      </c>
    </row>
    <row r="101" ht="15.75" customHeight="1">
      <c r="B101" s="13"/>
      <c r="D101" s="16"/>
      <c r="E101" s="16"/>
      <c r="F101" s="19"/>
      <c r="G101" s="20"/>
      <c r="H101" s="24"/>
      <c r="I101" s="25"/>
    </row>
    <row r="102" ht="15.75" customHeight="1">
      <c r="B102" s="13"/>
      <c r="D102" s="16"/>
      <c r="E102" s="16"/>
      <c r="F102" s="19"/>
      <c r="G102" s="20"/>
      <c r="H102" s="24"/>
      <c r="I102" s="25"/>
    </row>
    <row r="103" ht="15.75" customHeight="1">
      <c r="B103" s="13"/>
      <c r="D103" s="16"/>
      <c r="E103" s="16"/>
      <c r="F103" s="19"/>
      <c r="G103" s="20"/>
      <c r="H103" s="24"/>
      <c r="I103" s="25"/>
    </row>
    <row r="104" ht="15.75" customHeight="1">
      <c r="B104" s="13"/>
      <c r="D104" s="16"/>
      <c r="E104" s="16"/>
      <c r="F104" s="19"/>
      <c r="G104" s="20"/>
      <c r="H104" s="24"/>
      <c r="I104" s="25"/>
    </row>
    <row r="105" ht="15.75" customHeight="1">
      <c r="B105" s="13"/>
      <c r="D105" s="16"/>
      <c r="E105" s="16"/>
      <c r="F105" s="19"/>
      <c r="G105" s="20"/>
      <c r="H105" s="24"/>
      <c r="I105" s="25"/>
    </row>
    <row r="106" ht="15.75" customHeight="1">
      <c r="B106" s="13"/>
      <c r="D106" s="16"/>
      <c r="E106" s="16"/>
      <c r="F106" s="19"/>
      <c r="G106" s="20"/>
      <c r="H106" s="24"/>
      <c r="I106" s="25"/>
    </row>
    <row r="107" ht="15.75" customHeight="1">
      <c r="B107" s="13"/>
      <c r="D107" s="16"/>
      <c r="E107" s="16"/>
      <c r="F107" s="19"/>
      <c r="G107" s="20"/>
      <c r="H107" s="24"/>
      <c r="I107" s="25"/>
    </row>
    <row r="108" ht="15.75" customHeight="1">
      <c r="B108" s="13"/>
      <c r="D108" s="16"/>
      <c r="E108" s="16"/>
      <c r="F108" s="19"/>
      <c r="G108" s="20"/>
      <c r="H108" s="24"/>
      <c r="I108" s="25"/>
    </row>
    <row r="109" ht="15.75" customHeight="1">
      <c r="B109" s="13"/>
      <c r="D109" s="16"/>
      <c r="E109" s="16"/>
      <c r="F109" s="19"/>
      <c r="G109" s="20"/>
      <c r="H109" s="24"/>
      <c r="I109" s="25"/>
    </row>
    <row r="110" ht="15.75" customHeight="1">
      <c r="B110" s="13"/>
      <c r="D110" s="16"/>
      <c r="E110" s="16"/>
      <c r="F110" s="19"/>
      <c r="G110" s="20"/>
      <c r="H110" s="24"/>
      <c r="I110" s="25"/>
    </row>
    <row r="111" ht="15.75" customHeight="1">
      <c r="B111" s="13"/>
      <c r="D111" s="16"/>
      <c r="E111" s="16"/>
      <c r="F111" s="19"/>
      <c r="G111" s="20"/>
      <c r="H111" s="24"/>
      <c r="I111" s="25"/>
    </row>
    <row r="112" ht="15.75" customHeight="1">
      <c r="B112" s="13"/>
      <c r="D112" s="16"/>
      <c r="E112" s="16"/>
      <c r="F112" s="19"/>
      <c r="G112" s="20"/>
      <c r="H112" s="24"/>
      <c r="I112" s="25"/>
    </row>
    <row r="113" ht="15.75" customHeight="1">
      <c r="B113" s="13"/>
      <c r="D113" s="16"/>
      <c r="E113" s="16"/>
      <c r="F113" s="19"/>
      <c r="G113" s="20"/>
      <c r="H113" s="24"/>
      <c r="I113" s="25"/>
    </row>
    <row r="114" ht="15.75" customHeight="1">
      <c r="B114" s="13"/>
      <c r="D114" s="16"/>
      <c r="E114" s="16"/>
      <c r="F114" s="19"/>
      <c r="G114" s="20"/>
      <c r="H114" s="24"/>
      <c r="I114" s="25"/>
    </row>
    <row r="115" ht="15.75" customHeight="1">
      <c r="B115" s="13"/>
      <c r="D115" s="16"/>
      <c r="E115" s="16"/>
      <c r="F115" s="19"/>
      <c r="G115" s="20"/>
      <c r="H115" s="24"/>
      <c r="I115" s="25"/>
    </row>
    <row r="116" ht="15.75" customHeight="1">
      <c r="B116" s="13"/>
      <c r="D116" s="16"/>
      <c r="E116" s="16"/>
      <c r="F116" s="19"/>
      <c r="G116" s="20"/>
      <c r="H116" s="24"/>
      <c r="I116" s="25"/>
    </row>
    <row r="117" ht="15.75" customHeight="1">
      <c r="B117" s="13"/>
      <c r="D117" s="16"/>
      <c r="E117" s="16"/>
      <c r="F117" s="19"/>
      <c r="G117" s="20"/>
      <c r="H117" s="24"/>
      <c r="I117" s="25"/>
    </row>
    <row r="118" ht="15.75" customHeight="1">
      <c r="B118" s="13"/>
      <c r="D118" s="16"/>
      <c r="E118" s="16"/>
      <c r="F118" s="19"/>
      <c r="G118" s="20"/>
      <c r="H118" s="24"/>
      <c r="I118" s="25"/>
    </row>
    <row r="119" ht="15.75" customHeight="1">
      <c r="B119" s="13"/>
      <c r="D119" s="16"/>
      <c r="E119" s="16"/>
      <c r="F119" s="19"/>
      <c r="G119" s="20"/>
      <c r="H119" s="24"/>
      <c r="I119" s="25"/>
    </row>
    <row r="120" ht="15.75" customHeight="1">
      <c r="B120" s="13"/>
      <c r="D120" s="16"/>
      <c r="E120" s="16"/>
      <c r="F120" s="19"/>
      <c r="G120" s="20"/>
      <c r="H120" s="24"/>
      <c r="I120" s="25"/>
    </row>
    <row r="121" ht="15.75" customHeight="1">
      <c r="B121" s="13"/>
      <c r="D121" s="16"/>
      <c r="E121" s="16"/>
      <c r="F121" s="19"/>
      <c r="G121" s="20"/>
      <c r="H121" s="24"/>
      <c r="I121" s="25"/>
    </row>
    <row r="122" ht="15.75" customHeight="1">
      <c r="B122" s="13"/>
      <c r="D122" s="16"/>
      <c r="E122" s="16"/>
      <c r="F122" s="19"/>
      <c r="G122" s="20"/>
      <c r="H122" s="24"/>
      <c r="I122" s="25"/>
    </row>
    <row r="123" ht="15.75" customHeight="1">
      <c r="B123" s="13"/>
      <c r="D123" s="16"/>
      <c r="E123" s="16"/>
      <c r="F123" s="19"/>
      <c r="G123" s="20"/>
      <c r="H123" s="24"/>
      <c r="I123" s="25"/>
    </row>
    <row r="124" ht="15.75" customHeight="1">
      <c r="B124" s="13"/>
      <c r="D124" s="16"/>
      <c r="E124" s="16"/>
      <c r="F124" s="19"/>
      <c r="G124" s="20"/>
      <c r="H124" s="24"/>
      <c r="I124" s="25"/>
    </row>
    <row r="125" ht="15.75" customHeight="1">
      <c r="B125" s="13"/>
      <c r="D125" s="16"/>
      <c r="E125" s="16"/>
      <c r="F125" s="19"/>
      <c r="G125" s="20"/>
      <c r="H125" s="24"/>
      <c r="I125" s="25"/>
    </row>
    <row r="126" ht="15.75" customHeight="1">
      <c r="B126" s="13"/>
      <c r="D126" s="16"/>
      <c r="E126" s="16"/>
      <c r="F126" s="19"/>
      <c r="G126" s="20"/>
      <c r="H126" s="24"/>
      <c r="I126" s="25"/>
    </row>
    <row r="127" ht="15.75" customHeight="1">
      <c r="B127" s="13"/>
      <c r="D127" s="16"/>
      <c r="E127" s="16"/>
      <c r="F127" s="19"/>
      <c r="G127" s="20"/>
      <c r="H127" s="24"/>
      <c r="I127" s="25"/>
    </row>
    <row r="128" ht="15.75" customHeight="1">
      <c r="B128" s="13"/>
      <c r="D128" s="16"/>
      <c r="E128" s="16"/>
      <c r="F128" s="19"/>
      <c r="G128" s="20"/>
      <c r="H128" s="24"/>
      <c r="I128" s="25"/>
    </row>
    <row r="129" ht="15.75" customHeight="1">
      <c r="B129" s="13"/>
      <c r="D129" s="16"/>
      <c r="E129" s="16"/>
      <c r="F129" s="19"/>
      <c r="G129" s="20"/>
      <c r="H129" s="24"/>
      <c r="I129" s="25"/>
    </row>
    <row r="130" ht="15.75" customHeight="1">
      <c r="B130" s="13"/>
      <c r="D130" s="16"/>
      <c r="E130" s="16"/>
      <c r="F130" s="19"/>
      <c r="G130" s="20"/>
      <c r="H130" s="24"/>
      <c r="I130" s="25"/>
    </row>
    <row r="131" ht="15.75" customHeight="1">
      <c r="B131" s="13"/>
      <c r="D131" s="16"/>
      <c r="E131" s="16"/>
      <c r="F131" s="19"/>
      <c r="G131" s="20"/>
      <c r="H131" s="24"/>
      <c r="I131" s="25"/>
    </row>
    <row r="132" ht="15.75" customHeight="1">
      <c r="B132" s="13"/>
      <c r="D132" s="16"/>
      <c r="E132" s="16"/>
      <c r="F132" s="19"/>
      <c r="G132" s="20"/>
      <c r="H132" s="24"/>
      <c r="I132" s="25"/>
    </row>
    <row r="133" ht="15.75" customHeight="1">
      <c r="B133" s="13"/>
      <c r="D133" s="16"/>
      <c r="E133" s="16"/>
      <c r="F133" s="19"/>
      <c r="G133" s="20"/>
      <c r="H133" s="24"/>
      <c r="I133" s="25"/>
    </row>
    <row r="134" ht="15.75" customHeight="1">
      <c r="B134" s="13"/>
      <c r="D134" s="16"/>
      <c r="E134" s="16"/>
      <c r="F134" s="19"/>
      <c r="G134" s="20"/>
      <c r="H134" s="24"/>
      <c r="I134" s="25"/>
    </row>
    <row r="135" ht="15.75" customHeight="1">
      <c r="B135" s="13"/>
      <c r="D135" s="16"/>
      <c r="E135" s="16"/>
      <c r="F135" s="19"/>
      <c r="G135" s="20"/>
      <c r="H135" s="24"/>
      <c r="I135" s="25"/>
    </row>
    <row r="136" ht="15.75" customHeight="1">
      <c r="B136" s="13"/>
      <c r="D136" s="16"/>
      <c r="E136" s="16"/>
      <c r="F136" s="19"/>
      <c r="G136" s="20"/>
      <c r="H136" s="24"/>
      <c r="I136" s="25"/>
    </row>
    <row r="137" ht="15.75" customHeight="1">
      <c r="B137" s="13"/>
      <c r="D137" s="16"/>
      <c r="E137" s="16"/>
      <c r="F137" s="19"/>
      <c r="G137" s="20"/>
      <c r="H137" s="24"/>
      <c r="I137" s="25"/>
    </row>
    <row r="138" ht="15.75" customHeight="1">
      <c r="B138" s="13"/>
      <c r="D138" s="16"/>
      <c r="E138" s="16"/>
      <c r="F138" s="19"/>
      <c r="G138" s="20"/>
      <c r="H138" s="24"/>
      <c r="I138" s="25"/>
    </row>
    <row r="139" ht="15.75" customHeight="1">
      <c r="B139" s="13"/>
      <c r="D139" s="16"/>
      <c r="E139" s="16"/>
      <c r="F139" s="19"/>
      <c r="G139" s="20"/>
      <c r="H139" s="24"/>
      <c r="I139" s="25"/>
    </row>
    <row r="140" ht="15.75" customHeight="1">
      <c r="B140" s="13"/>
      <c r="D140" s="16"/>
      <c r="E140" s="16"/>
      <c r="F140" s="19"/>
      <c r="G140" s="20"/>
      <c r="H140" s="24"/>
      <c r="I140" s="25"/>
    </row>
    <row r="141" ht="15.75" customHeight="1">
      <c r="B141" s="13"/>
      <c r="D141" s="16"/>
      <c r="E141" s="16"/>
      <c r="F141" s="19"/>
      <c r="G141" s="20"/>
      <c r="H141" s="24"/>
      <c r="I141" s="25"/>
    </row>
    <row r="142" ht="15.75" customHeight="1">
      <c r="B142" s="13"/>
      <c r="D142" s="16"/>
      <c r="E142" s="16"/>
      <c r="F142" s="19"/>
      <c r="G142" s="20"/>
      <c r="H142" s="24"/>
      <c r="I142" s="25"/>
    </row>
    <row r="143" ht="15.75" customHeight="1">
      <c r="B143" s="13"/>
      <c r="D143" s="16"/>
      <c r="E143" s="16"/>
      <c r="F143" s="19"/>
      <c r="G143" s="20"/>
      <c r="H143" s="24"/>
      <c r="I143" s="25"/>
    </row>
    <row r="144" ht="15.75" customHeight="1">
      <c r="B144" s="13"/>
      <c r="D144" s="16"/>
      <c r="E144" s="16"/>
      <c r="F144" s="19"/>
      <c r="G144" s="20"/>
      <c r="H144" s="24"/>
      <c r="I144" s="25"/>
    </row>
    <row r="145" ht="15.75" customHeight="1">
      <c r="B145" s="13"/>
      <c r="D145" s="16"/>
      <c r="E145" s="16"/>
      <c r="F145" s="19"/>
      <c r="G145" s="20"/>
      <c r="H145" s="24"/>
      <c r="I145" s="25"/>
    </row>
    <row r="146" ht="15.75" customHeight="1">
      <c r="B146" s="13"/>
      <c r="D146" s="16"/>
      <c r="E146" s="16"/>
      <c r="F146" s="19"/>
      <c r="G146" s="20"/>
      <c r="H146" s="24"/>
      <c r="I146" s="25"/>
    </row>
    <row r="147" ht="15.75" customHeight="1">
      <c r="B147" s="13"/>
      <c r="D147" s="16"/>
      <c r="E147" s="16"/>
      <c r="F147" s="19"/>
      <c r="G147" s="20"/>
      <c r="H147" s="24"/>
      <c r="I147" s="25"/>
    </row>
    <row r="148" ht="15.75" customHeight="1">
      <c r="B148" s="13"/>
      <c r="D148" s="16"/>
      <c r="E148" s="16"/>
      <c r="F148" s="19"/>
      <c r="G148" s="20"/>
      <c r="H148" s="24"/>
      <c r="I148" s="25"/>
    </row>
    <row r="149" ht="15.75" customHeight="1">
      <c r="B149" s="13"/>
      <c r="D149" s="16"/>
      <c r="E149" s="16"/>
      <c r="F149" s="19"/>
      <c r="G149" s="20"/>
      <c r="H149" s="24"/>
      <c r="I149" s="25"/>
    </row>
    <row r="150" ht="15.75" customHeight="1">
      <c r="B150" s="13"/>
      <c r="D150" s="16"/>
      <c r="E150" s="16"/>
      <c r="F150" s="19"/>
      <c r="G150" s="20"/>
      <c r="H150" s="24"/>
      <c r="I150" s="25"/>
    </row>
    <row r="151" ht="15.75" customHeight="1">
      <c r="B151" s="13"/>
      <c r="D151" s="16"/>
      <c r="E151" s="16"/>
      <c r="F151" s="19"/>
      <c r="G151" s="20"/>
      <c r="H151" s="24"/>
      <c r="I151" s="25"/>
    </row>
    <row r="152" ht="15.75" customHeight="1">
      <c r="B152" s="13"/>
      <c r="D152" s="16"/>
      <c r="E152" s="16"/>
      <c r="F152" s="19"/>
      <c r="G152" s="20"/>
      <c r="H152" s="24"/>
      <c r="I152" s="25"/>
    </row>
    <row r="153" ht="15.75" customHeight="1">
      <c r="B153" s="13"/>
      <c r="D153" s="16"/>
      <c r="E153" s="16"/>
      <c r="F153" s="19"/>
      <c r="G153" s="20"/>
      <c r="H153" s="24"/>
      <c r="I153" s="25"/>
    </row>
    <row r="154" ht="15.75" customHeight="1">
      <c r="B154" s="13"/>
      <c r="D154" s="16"/>
      <c r="E154" s="16"/>
      <c r="F154" s="19"/>
      <c r="G154" s="20"/>
      <c r="H154" s="24"/>
      <c r="I154" s="25"/>
    </row>
    <row r="155" ht="15.75" customHeight="1">
      <c r="B155" s="13"/>
      <c r="D155" s="16"/>
      <c r="E155" s="16"/>
      <c r="F155" s="19"/>
      <c r="G155" s="20"/>
      <c r="H155" s="24"/>
      <c r="I155" s="25"/>
    </row>
    <row r="156" ht="15.75" customHeight="1">
      <c r="B156" s="13"/>
      <c r="D156" s="16"/>
      <c r="E156" s="16"/>
      <c r="F156" s="19"/>
      <c r="G156" s="20"/>
      <c r="H156" s="24"/>
      <c r="I156" s="25"/>
    </row>
    <row r="157" ht="15.75" customHeight="1">
      <c r="B157" s="13"/>
      <c r="D157" s="16"/>
      <c r="E157" s="16"/>
      <c r="F157" s="19"/>
      <c r="G157" s="20"/>
      <c r="H157" s="24"/>
      <c r="I157" s="25"/>
    </row>
    <row r="158" ht="15.75" customHeight="1">
      <c r="B158" s="13"/>
      <c r="D158" s="16"/>
      <c r="E158" s="16"/>
      <c r="F158" s="19"/>
      <c r="G158" s="20"/>
      <c r="H158" s="24"/>
      <c r="I158" s="25"/>
    </row>
    <row r="159" ht="15.75" customHeight="1">
      <c r="B159" s="13"/>
      <c r="D159" s="16"/>
      <c r="E159" s="16"/>
      <c r="F159" s="19"/>
      <c r="G159" s="20"/>
      <c r="H159" s="24"/>
      <c r="I159" s="25"/>
    </row>
    <row r="160" ht="15.75" customHeight="1">
      <c r="B160" s="13"/>
      <c r="D160" s="16"/>
      <c r="E160" s="16"/>
      <c r="F160" s="19"/>
      <c r="G160" s="20"/>
      <c r="H160" s="24"/>
      <c r="I160" s="25"/>
    </row>
    <row r="161" ht="15.75" customHeight="1">
      <c r="B161" s="13"/>
      <c r="D161" s="16"/>
      <c r="E161" s="16"/>
      <c r="F161" s="19"/>
      <c r="G161" s="20"/>
      <c r="H161" s="24"/>
      <c r="I161" s="25"/>
    </row>
    <row r="162" ht="15.75" customHeight="1">
      <c r="B162" s="13"/>
      <c r="D162" s="16"/>
      <c r="E162" s="16"/>
      <c r="F162" s="19"/>
      <c r="G162" s="20"/>
      <c r="H162" s="24"/>
      <c r="I162" s="25"/>
    </row>
    <row r="163" ht="15.75" customHeight="1">
      <c r="B163" s="13"/>
      <c r="D163" s="16"/>
      <c r="E163" s="16"/>
      <c r="F163" s="19"/>
      <c r="G163" s="20"/>
      <c r="H163" s="24"/>
      <c r="I163" s="25"/>
    </row>
    <row r="164" ht="15.75" customHeight="1">
      <c r="B164" s="13"/>
      <c r="D164" s="16"/>
      <c r="E164" s="16"/>
      <c r="F164" s="19"/>
      <c r="G164" s="20"/>
      <c r="H164" s="24"/>
      <c r="I164" s="25"/>
    </row>
    <row r="165" ht="15.75" customHeight="1">
      <c r="B165" s="13"/>
      <c r="D165" s="16"/>
      <c r="E165" s="16"/>
      <c r="F165" s="19"/>
      <c r="G165" s="20"/>
      <c r="H165" s="24"/>
      <c r="I165" s="25"/>
    </row>
    <row r="166" ht="15.75" customHeight="1">
      <c r="B166" s="13"/>
      <c r="D166" s="16"/>
      <c r="E166" s="16"/>
      <c r="F166" s="19"/>
      <c r="G166" s="20"/>
      <c r="H166" s="24"/>
      <c r="I166" s="25"/>
    </row>
    <row r="167" ht="15.75" customHeight="1">
      <c r="B167" s="13"/>
      <c r="D167" s="16"/>
      <c r="E167" s="16"/>
      <c r="F167" s="19"/>
      <c r="G167" s="20"/>
      <c r="H167" s="24"/>
      <c r="I167" s="25"/>
    </row>
    <row r="168" ht="15.75" customHeight="1">
      <c r="B168" s="13"/>
      <c r="D168" s="16"/>
      <c r="E168" s="16"/>
      <c r="F168" s="19"/>
      <c r="G168" s="20"/>
      <c r="H168" s="24"/>
      <c r="I168" s="25"/>
    </row>
    <row r="169" ht="15.75" customHeight="1">
      <c r="B169" s="13"/>
      <c r="D169" s="16"/>
      <c r="E169" s="16"/>
      <c r="F169" s="19"/>
      <c r="G169" s="20"/>
      <c r="H169" s="24"/>
      <c r="I169" s="25"/>
    </row>
    <row r="170" ht="15.75" customHeight="1">
      <c r="B170" s="13"/>
      <c r="D170" s="16"/>
      <c r="E170" s="16"/>
      <c r="F170" s="19"/>
      <c r="G170" s="20"/>
      <c r="H170" s="24"/>
      <c r="I170" s="25"/>
    </row>
    <row r="171" ht="15.75" customHeight="1">
      <c r="B171" s="13"/>
      <c r="D171" s="16"/>
      <c r="E171" s="16"/>
      <c r="F171" s="19"/>
      <c r="G171" s="20"/>
      <c r="H171" s="24"/>
      <c r="I171" s="25"/>
    </row>
    <row r="172" ht="15.75" customHeight="1">
      <c r="B172" s="13"/>
      <c r="D172" s="16"/>
      <c r="E172" s="16"/>
      <c r="F172" s="19"/>
      <c r="G172" s="20"/>
      <c r="H172" s="24"/>
      <c r="I172" s="25"/>
    </row>
    <row r="173" ht="15.75" customHeight="1">
      <c r="B173" s="13"/>
      <c r="D173" s="16"/>
      <c r="E173" s="16"/>
      <c r="F173" s="19"/>
      <c r="G173" s="20"/>
      <c r="H173" s="24"/>
      <c r="I173" s="25"/>
    </row>
    <row r="174" ht="15.75" customHeight="1">
      <c r="B174" s="13"/>
      <c r="D174" s="16"/>
      <c r="E174" s="16"/>
      <c r="F174" s="19"/>
      <c r="G174" s="20"/>
      <c r="H174" s="24"/>
      <c r="I174" s="25"/>
    </row>
    <row r="175" ht="15.75" customHeight="1">
      <c r="B175" s="13"/>
      <c r="D175" s="16"/>
      <c r="E175" s="16"/>
      <c r="F175" s="19"/>
      <c r="G175" s="20"/>
      <c r="H175" s="24"/>
      <c r="I175" s="25"/>
    </row>
    <row r="176" ht="15.75" customHeight="1">
      <c r="B176" s="13"/>
      <c r="D176" s="16"/>
      <c r="E176" s="16"/>
      <c r="F176" s="19"/>
      <c r="G176" s="20"/>
      <c r="H176" s="24"/>
      <c r="I176" s="25"/>
    </row>
    <row r="177" ht="15.75" customHeight="1">
      <c r="B177" s="13"/>
      <c r="D177" s="16"/>
      <c r="E177" s="16"/>
      <c r="F177" s="19"/>
      <c r="G177" s="20"/>
      <c r="H177" s="24"/>
      <c r="I177" s="25"/>
    </row>
    <row r="178" ht="15.75" customHeight="1">
      <c r="B178" s="13"/>
      <c r="D178" s="16"/>
      <c r="E178" s="16"/>
      <c r="F178" s="19"/>
      <c r="G178" s="20"/>
      <c r="H178" s="24"/>
      <c r="I178" s="25"/>
    </row>
    <row r="179" ht="15.75" customHeight="1">
      <c r="B179" s="13"/>
      <c r="D179" s="16"/>
      <c r="E179" s="16"/>
      <c r="F179" s="19"/>
      <c r="G179" s="20"/>
      <c r="H179" s="24"/>
      <c r="I179" s="25"/>
    </row>
    <row r="180" ht="15.75" customHeight="1">
      <c r="B180" s="13"/>
      <c r="D180" s="16"/>
      <c r="E180" s="16"/>
      <c r="F180" s="19"/>
      <c r="G180" s="20"/>
      <c r="H180" s="24"/>
      <c r="I180" s="25"/>
    </row>
    <row r="181" ht="15.75" customHeight="1">
      <c r="B181" s="13"/>
      <c r="D181" s="16"/>
      <c r="E181" s="16"/>
      <c r="F181" s="19"/>
      <c r="G181" s="20"/>
      <c r="H181" s="24"/>
      <c r="I181" s="25"/>
    </row>
    <row r="182" ht="15.75" customHeight="1">
      <c r="B182" s="13"/>
      <c r="D182" s="16"/>
      <c r="E182" s="16"/>
      <c r="F182" s="19"/>
      <c r="G182" s="20"/>
      <c r="H182" s="24"/>
      <c r="I182" s="25"/>
    </row>
    <row r="183" ht="15.75" customHeight="1">
      <c r="B183" s="13"/>
      <c r="D183" s="16"/>
      <c r="E183" s="16"/>
      <c r="F183" s="19"/>
      <c r="G183" s="20"/>
      <c r="H183" s="24"/>
      <c r="I183" s="25"/>
    </row>
    <row r="184" ht="15.75" customHeight="1">
      <c r="B184" s="13"/>
      <c r="D184" s="16"/>
      <c r="E184" s="16"/>
      <c r="F184" s="19"/>
      <c r="G184" s="20"/>
      <c r="H184" s="24"/>
      <c r="I184" s="25"/>
    </row>
    <row r="185" ht="15.75" customHeight="1">
      <c r="B185" s="13"/>
      <c r="D185" s="16"/>
      <c r="E185" s="16"/>
      <c r="F185" s="19"/>
      <c r="G185" s="20"/>
      <c r="H185" s="24"/>
      <c r="I185" s="25"/>
    </row>
    <row r="186" ht="15.75" customHeight="1">
      <c r="B186" s="13"/>
      <c r="D186" s="16"/>
      <c r="E186" s="16"/>
      <c r="F186" s="19"/>
      <c r="G186" s="20"/>
      <c r="H186" s="24"/>
      <c r="I186" s="25"/>
    </row>
    <row r="187" ht="15.75" customHeight="1">
      <c r="B187" s="13"/>
      <c r="D187" s="16"/>
      <c r="E187" s="16"/>
      <c r="F187" s="19"/>
      <c r="G187" s="20"/>
      <c r="H187" s="24"/>
      <c r="I187" s="25"/>
    </row>
    <row r="188" ht="15.75" customHeight="1">
      <c r="B188" s="13"/>
      <c r="D188" s="16"/>
      <c r="E188" s="16"/>
      <c r="F188" s="19"/>
      <c r="G188" s="20"/>
      <c r="H188" s="24"/>
      <c r="I188" s="25"/>
    </row>
    <row r="189" ht="15.75" customHeight="1">
      <c r="B189" s="13"/>
      <c r="D189" s="16"/>
      <c r="E189" s="16"/>
      <c r="F189" s="19"/>
      <c r="G189" s="20"/>
      <c r="H189" s="24"/>
      <c r="I189" s="25"/>
    </row>
    <row r="190" ht="15.75" customHeight="1">
      <c r="B190" s="13"/>
      <c r="D190" s="16"/>
      <c r="E190" s="16"/>
      <c r="F190" s="19"/>
      <c r="G190" s="20"/>
      <c r="H190" s="24"/>
      <c r="I190" s="25"/>
    </row>
    <row r="191" ht="15.75" customHeight="1">
      <c r="B191" s="13"/>
      <c r="D191" s="16"/>
      <c r="E191" s="16"/>
      <c r="F191" s="19"/>
      <c r="G191" s="20"/>
      <c r="H191" s="24"/>
      <c r="I191" s="25"/>
    </row>
    <row r="192" ht="15.75" customHeight="1">
      <c r="B192" s="13"/>
      <c r="D192" s="16"/>
      <c r="E192" s="16"/>
      <c r="F192" s="19"/>
      <c r="G192" s="20"/>
      <c r="H192" s="24"/>
      <c r="I192" s="25"/>
    </row>
    <row r="193" ht="15.75" customHeight="1">
      <c r="B193" s="13"/>
      <c r="D193" s="16"/>
      <c r="E193" s="16"/>
      <c r="F193" s="19"/>
      <c r="G193" s="20"/>
      <c r="H193" s="24"/>
      <c r="I193" s="25"/>
    </row>
    <row r="194" ht="15.75" customHeight="1">
      <c r="B194" s="13"/>
      <c r="D194" s="16"/>
      <c r="E194" s="16"/>
      <c r="F194" s="19"/>
      <c r="G194" s="20"/>
      <c r="H194" s="24"/>
      <c r="I194" s="25"/>
    </row>
    <row r="195" ht="15.75" customHeight="1">
      <c r="B195" s="13"/>
      <c r="D195" s="16"/>
      <c r="E195" s="16"/>
      <c r="F195" s="19"/>
      <c r="G195" s="20"/>
      <c r="H195" s="24"/>
      <c r="I195" s="25"/>
    </row>
    <row r="196" ht="15.75" customHeight="1">
      <c r="B196" s="13"/>
      <c r="D196" s="16"/>
      <c r="E196" s="16"/>
      <c r="F196" s="19"/>
      <c r="G196" s="20"/>
      <c r="H196" s="24"/>
      <c r="I196" s="25"/>
    </row>
    <row r="197" ht="15.75" customHeight="1">
      <c r="B197" s="13"/>
      <c r="D197" s="16"/>
      <c r="E197" s="16"/>
      <c r="F197" s="19"/>
      <c r="G197" s="20"/>
      <c r="H197" s="24"/>
      <c r="I197" s="25"/>
    </row>
    <row r="198" ht="15.75" customHeight="1">
      <c r="B198" s="13"/>
      <c r="D198" s="16"/>
      <c r="E198" s="16"/>
      <c r="F198" s="19"/>
      <c r="G198" s="20"/>
      <c r="H198" s="24"/>
      <c r="I198" s="25"/>
    </row>
    <row r="199" ht="15.75" customHeight="1">
      <c r="B199" s="13"/>
      <c r="D199" s="16"/>
      <c r="E199" s="16"/>
      <c r="F199" s="19"/>
      <c r="G199" s="20"/>
      <c r="H199" s="24"/>
      <c r="I199" s="25"/>
    </row>
    <row r="200" ht="15.75" customHeight="1">
      <c r="B200" s="13"/>
      <c r="D200" s="16"/>
      <c r="E200" s="16"/>
      <c r="F200" s="19"/>
      <c r="G200" s="20"/>
      <c r="H200" s="24"/>
      <c r="I200" s="25"/>
    </row>
    <row r="201" ht="15.75" customHeight="1">
      <c r="B201" s="13"/>
      <c r="D201" s="16"/>
      <c r="E201" s="16"/>
      <c r="F201" s="19"/>
      <c r="G201" s="20"/>
      <c r="H201" s="24"/>
      <c r="I201" s="25"/>
    </row>
    <row r="202" ht="15.75" customHeight="1">
      <c r="B202" s="13"/>
      <c r="D202" s="16"/>
      <c r="E202" s="16"/>
      <c r="F202" s="19"/>
      <c r="G202" s="20"/>
      <c r="H202" s="24"/>
      <c r="I202" s="25"/>
    </row>
    <row r="203" ht="15.75" customHeight="1">
      <c r="B203" s="13"/>
      <c r="D203" s="16"/>
      <c r="E203" s="16"/>
      <c r="F203" s="19"/>
      <c r="G203" s="20"/>
      <c r="H203" s="24"/>
      <c r="I203" s="25"/>
    </row>
    <row r="204" ht="15.75" customHeight="1">
      <c r="B204" s="13"/>
      <c r="D204" s="16"/>
      <c r="E204" s="16"/>
      <c r="F204" s="19"/>
      <c r="G204" s="20"/>
      <c r="H204" s="24"/>
      <c r="I204" s="25"/>
    </row>
    <row r="205" ht="15.75" customHeight="1">
      <c r="B205" s="13"/>
      <c r="D205" s="16"/>
      <c r="E205" s="16"/>
      <c r="F205" s="19"/>
      <c r="G205" s="20"/>
      <c r="H205" s="24"/>
      <c r="I205" s="25"/>
    </row>
    <row r="206" ht="15.75" customHeight="1">
      <c r="B206" s="13"/>
      <c r="D206" s="16"/>
      <c r="E206" s="16"/>
      <c r="F206" s="19"/>
      <c r="G206" s="20"/>
      <c r="H206" s="24"/>
      <c r="I206" s="25"/>
    </row>
    <row r="207" ht="15.75" customHeight="1">
      <c r="B207" s="13"/>
      <c r="D207" s="16"/>
      <c r="E207" s="16"/>
      <c r="F207" s="19"/>
      <c r="G207" s="20"/>
      <c r="H207" s="24"/>
      <c r="I207" s="25"/>
    </row>
    <row r="208" ht="15.75" customHeight="1">
      <c r="B208" s="13"/>
      <c r="D208" s="16"/>
      <c r="E208" s="16"/>
      <c r="F208" s="19"/>
      <c r="G208" s="20"/>
      <c r="H208" s="24"/>
      <c r="I208" s="25"/>
    </row>
    <row r="209" ht="15.75" customHeight="1">
      <c r="B209" s="13"/>
      <c r="D209" s="16"/>
      <c r="E209" s="16"/>
      <c r="F209" s="19"/>
      <c r="G209" s="20"/>
      <c r="H209" s="24"/>
      <c r="I209" s="25"/>
    </row>
    <row r="210" ht="15.75" customHeight="1">
      <c r="B210" s="13"/>
      <c r="D210" s="16"/>
      <c r="E210" s="16"/>
      <c r="F210" s="19"/>
      <c r="G210" s="20"/>
      <c r="H210" s="24"/>
      <c r="I210" s="25"/>
    </row>
    <row r="211" ht="15.75" customHeight="1">
      <c r="B211" s="13"/>
      <c r="D211" s="16"/>
      <c r="E211" s="16"/>
      <c r="F211" s="19"/>
      <c r="G211" s="20"/>
      <c r="H211" s="24"/>
      <c r="I211" s="25"/>
    </row>
    <row r="212" ht="15.75" customHeight="1">
      <c r="B212" s="13"/>
      <c r="D212" s="16"/>
      <c r="E212" s="16"/>
      <c r="F212" s="19"/>
      <c r="G212" s="20"/>
      <c r="H212" s="24"/>
      <c r="I212" s="25"/>
    </row>
    <row r="213" ht="15.75" customHeight="1">
      <c r="B213" s="13"/>
      <c r="D213" s="16"/>
      <c r="E213" s="16"/>
      <c r="F213" s="19"/>
      <c r="G213" s="20"/>
      <c r="H213" s="24"/>
      <c r="I213" s="25"/>
    </row>
    <row r="214" ht="15.75" customHeight="1">
      <c r="B214" s="13"/>
      <c r="D214" s="16"/>
      <c r="E214" s="16"/>
      <c r="F214" s="19"/>
      <c r="G214" s="20"/>
      <c r="H214" s="24"/>
      <c r="I214" s="25"/>
    </row>
    <row r="215" ht="15.75" customHeight="1">
      <c r="B215" s="13"/>
      <c r="D215" s="16"/>
      <c r="E215" s="16"/>
      <c r="F215" s="19"/>
      <c r="G215" s="20"/>
      <c r="H215" s="24"/>
      <c r="I215" s="25"/>
    </row>
    <row r="216" ht="15.75" customHeight="1">
      <c r="B216" s="13"/>
      <c r="D216" s="16"/>
      <c r="E216" s="16"/>
      <c r="F216" s="19"/>
      <c r="G216" s="20"/>
      <c r="H216" s="24"/>
      <c r="I216" s="25"/>
    </row>
    <row r="217" ht="15.75" customHeight="1">
      <c r="B217" s="13"/>
      <c r="D217" s="16"/>
      <c r="E217" s="16"/>
      <c r="F217" s="19"/>
      <c r="G217" s="20"/>
      <c r="H217" s="24"/>
      <c r="I217" s="25"/>
    </row>
    <row r="218" ht="15.75" customHeight="1">
      <c r="B218" s="13"/>
      <c r="D218" s="16"/>
      <c r="E218" s="16"/>
      <c r="F218" s="19"/>
      <c r="G218" s="20"/>
      <c r="H218" s="24"/>
      <c r="I218" s="25"/>
    </row>
    <row r="219" ht="15.75" customHeight="1">
      <c r="B219" s="13"/>
      <c r="D219" s="16"/>
      <c r="E219" s="16"/>
      <c r="F219" s="19"/>
      <c r="G219" s="20"/>
      <c r="H219" s="24"/>
      <c r="I219" s="25"/>
    </row>
    <row r="220" ht="15.75" customHeight="1">
      <c r="B220" s="13"/>
      <c r="D220" s="16"/>
      <c r="E220" s="16"/>
      <c r="F220" s="19"/>
      <c r="G220" s="20"/>
      <c r="H220" s="24"/>
      <c r="I220" s="25"/>
    </row>
    <row r="221" ht="15.75" customHeight="1">
      <c r="B221" s="13"/>
      <c r="D221" s="16"/>
      <c r="E221" s="16"/>
      <c r="F221" s="19"/>
      <c r="G221" s="20"/>
      <c r="H221" s="24"/>
      <c r="I221" s="25"/>
    </row>
    <row r="222" ht="15.75" customHeight="1">
      <c r="B222" s="13"/>
      <c r="D222" s="16"/>
      <c r="E222" s="16"/>
      <c r="F222" s="19"/>
      <c r="G222" s="20"/>
      <c r="H222" s="24"/>
      <c r="I222" s="25"/>
    </row>
    <row r="223" ht="15.75" customHeight="1">
      <c r="B223" s="13"/>
      <c r="D223" s="16"/>
      <c r="E223" s="16"/>
      <c r="F223" s="19"/>
      <c r="G223" s="20"/>
      <c r="H223" s="24"/>
      <c r="I223" s="25"/>
    </row>
    <row r="224" ht="15.75" customHeight="1">
      <c r="B224" s="13"/>
      <c r="D224" s="16"/>
      <c r="E224" s="16"/>
      <c r="F224" s="19"/>
      <c r="G224" s="20"/>
      <c r="H224" s="24"/>
      <c r="I224" s="25"/>
    </row>
    <row r="225" ht="15.75" customHeight="1">
      <c r="B225" s="13"/>
      <c r="D225" s="16"/>
      <c r="E225" s="16"/>
      <c r="F225" s="19"/>
      <c r="G225" s="20"/>
      <c r="H225" s="24"/>
      <c r="I225" s="25"/>
    </row>
    <row r="226" ht="15.75" customHeight="1">
      <c r="B226" s="13"/>
      <c r="D226" s="16"/>
      <c r="E226" s="16"/>
      <c r="F226" s="19"/>
      <c r="G226" s="20"/>
      <c r="H226" s="24"/>
      <c r="I226" s="25"/>
    </row>
    <row r="227" ht="15.75" customHeight="1">
      <c r="B227" s="13"/>
      <c r="D227" s="16"/>
      <c r="E227" s="16"/>
      <c r="F227" s="19"/>
      <c r="G227" s="20"/>
      <c r="H227" s="24"/>
      <c r="I227" s="25"/>
    </row>
    <row r="228" ht="15.75" customHeight="1">
      <c r="B228" s="13"/>
      <c r="D228" s="16"/>
      <c r="E228" s="16"/>
      <c r="F228" s="19"/>
      <c r="G228" s="20"/>
      <c r="H228" s="24"/>
      <c r="I228" s="25"/>
    </row>
    <row r="229" ht="15.75" customHeight="1">
      <c r="B229" s="13"/>
      <c r="D229" s="16"/>
      <c r="E229" s="16"/>
      <c r="F229" s="19"/>
      <c r="G229" s="20"/>
      <c r="H229" s="24"/>
      <c r="I229" s="25"/>
    </row>
    <row r="230" ht="15.75" customHeight="1">
      <c r="B230" s="13"/>
      <c r="D230" s="16"/>
      <c r="E230" s="16"/>
      <c r="F230" s="19"/>
      <c r="G230" s="20"/>
      <c r="H230" s="24"/>
      <c r="I230" s="25"/>
    </row>
    <row r="231" ht="15.75" customHeight="1">
      <c r="B231" s="13"/>
      <c r="D231" s="16"/>
      <c r="E231" s="16"/>
      <c r="F231" s="19"/>
      <c r="G231" s="20"/>
      <c r="H231" s="24"/>
      <c r="I231" s="25"/>
    </row>
    <row r="232" ht="15.75" customHeight="1">
      <c r="B232" s="13"/>
      <c r="D232" s="16"/>
      <c r="E232" s="16"/>
      <c r="F232" s="19"/>
      <c r="G232" s="20"/>
      <c r="H232" s="24"/>
      <c r="I232" s="25"/>
    </row>
    <row r="233" ht="15.75" customHeight="1">
      <c r="B233" s="13"/>
      <c r="D233" s="16"/>
      <c r="E233" s="16"/>
      <c r="F233" s="19"/>
      <c r="G233" s="20"/>
      <c r="H233" s="24"/>
      <c r="I233" s="25"/>
    </row>
    <row r="234" ht="15.75" customHeight="1">
      <c r="B234" s="13"/>
      <c r="D234" s="16"/>
      <c r="E234" s="16"/>
      <c r="F234" s="19"/>
      <c r="G234" s="20"/>
      <c r="H234" s="24"/>
      <c r="I234" s="25"/>
    </row>
    <row r="235" ht="15.75" customHeight="1">
      <c r="B235" s="13"/>
      <c r="D235" s="16"/>
      <c r="E235" s="16"/>
      <c r="F235" s="19"/>
      <c r="G235" s="20"/>
      <c r="H235" s="24"/>
      <c r="I235" s="25"/>
    </row>
    <row r="236" ht="15.75" customHeight="1">
      <c r="B236" s="13"/>
      <c r="D236" s="16"/>
      <c r="E236" s="16"/>
      <c r="F236" s="19"/>
      <c r="G236" s="20"/>
      <c r="H236" s="24"/>
      <c r="I236" s="25"/>
    </row>
    <row r="237" ht="15.75" customHeight="1">
      <c r="B237" s="13"/>
      <c r="D237" s="16"/>
      <c r="E237" s="16"/>
      <c r="F237" s="19"/>
      <c r="G237" s="20"/>
      <c r="H237" s="24"/>
      <c r="I237" s="25"/>
    </row>
    <row r="238" ht="15.75" customHeight="1">
      <c r="B238" s="13"/>
      <c r="D238" s="16"/>
      <c r="E238" s="16"/>
      <c r="F238" s="19"/>
      <c r="G238" s="20"/>
      <c r="H238" s="24"/>
      <c r="I238" s="25"/>
    </row>
    <row r="239" ht="15.75" customHeight="1">
      <c r="B239" s="13"/>
      <c r="D239" s="16"/>
      <c r="E239" s="16"/>
      <c r="F239" s="19"/>
      <c r="G239" s="20"/>
      <c r="H239" s="24"/>
      <c r="I239" s="25"/>
    </row>
    <row r="240" ht="15.75" customHeight="1">
      <c r="B240" s="13"/>
      <c r="D240" s="16"/>
      <c r="E240" s="16"/>
      <c r="F240" s="19"/>
      <c r="G240" s="20"/>
      <c r="H240" s="24"/>
      <c r="I240" s="25"/>
    </row>
    <row r="241" ht="15.75" customHeight="1">
      <c r="B241" s="13"/>
      <c r="D241" s="16"/>
      <c r="E241" s="16"/>
      <c r="F241" s="19"/>
      <c r="G241" s="20"/>
      <c r="H241" s="24"/>
      <c r="I241" s="25"/>
    </row>
    <row r="242" ht="15.75" customHeight="1">
      <c r="B242" s="13"/>
      <c r="D242" s="16"/>
      <c r="E242" s="16"/>
      <c r="F242" s="19"/>
      <c r="G242" s="20"/>
      <c r="H242" s="24"/>
      <c r="I242" s="25"/>
    </row>
    <row r="243" ht="15.75" customHeight="1">
      <c r="B243" s="13"/>
      <c r="D243" s="16"/>
      <c r="E243" s="16"/>
      <c r="F243" s="19"/>
      <c r="G243" s="20"/>
      <c r="H243" s="24"/>
      <c r="I243" s="25"/>
    </row>
    <row r="244" ht="15.75" customHeight="1">
      <c r="B244" s="13"/>
      <c r="D244" s="16"/>
      <c r="E244" s="16"/>
      <c r="F244" s="19"/>
      <c r="G244" s="20"/>
      <c r="H244" s="24"/>
      <c r="I244" s="25"/>
    </row>
    <row r="245" ht="15.75" customHeight="1">
      <c r="B245" s="13"/>
      <c r="D245" s="16"/>
      <c r="E245" s="16"/>
      <c r="F245" s="19"/>
      <c r="G245" s="20"/>
      <c r="H245" s="24"/>
      <c r="I245" s="25"/>
    </row>
    <row r="246" ht="15.75" customHeight="1">
      <c r="B246" s="13"/>
      <c r="D246" s="16"/>
      <c r="E246" s="16"/>
      <c r="F246" s="19"/>
      <c r="G246" s="20"/>
      <c r="H246" s="24"/>
      <c r="I246" s="25"/>
    </row>
    <row r="247" ht="15.75" customHeight="1">
      <c r="B247" s="13"/>
      <c r="D247" s="16"/>
      <c r="E247" s="16"/>
      <c r="F247" s="19"/>
      <c r="G247" s="20"/>
      <c r="H247" s="24"/>
      <c r="I247" s="25"/>
    </row>
    <row r="248" ht="15.75" customHeight="1">
      <c r="B248" s="13"/>
      <c r="D248" s="16"/>
      <c r="E248" s="16"/>
      <c r="F248" s="19"/>
      <c r="G248" s="20"/>
      <c r="H248" s="24"/>
      <c r="I248" s="25"/>
    </row>
    <row r="249" ht="15.75" customHeight="1">
      <c r="B249" s="13"/>
      <c r="D249" s="16"/>
      <c r="E249" s="16"/>
      <c r="F249" s="19"/>
      <c r="G249" s="20"/>
      <c r="H249" s="24"/>
      <c r="I249" s="25"/>
    </row>
    <row r="250" ht="15.75" customHeight="1">
      <c r="B250" s="13"/>
      <c r="D250" s="16"/>
      <c r="E250" s="16"/>
      <c r="F250" s="19"/>
      <c r="G250" s="20"/>
      <c r="H250" s="24"/>
      <c r="I250" s="25"/>
    </row>
    <row r="251" ht="15.75" customHeight="1">
      <c r="B251" s="13"/>
      <c r="D251" s="16"/>
      <c r="E251" s="16"/>
      <c r="F251" s="19"/>
      <c r="G251" s="20"/>
      <c r="H251" s="24"/>
      <c r="I251" s="25"/>
    </row>
    <row r="252" ht="15.75" customHeight="1">
      <c r="B252" s="13"/>
      <c r="D252" s="16"/>
      <c r="E252" s="16"/>
      <c r="F252" s="19"/>
      <c r="G252" s="20"/>
      <c r="H252" s="24"/>
      <c r="I252" s="25"/>
    </row>
    <row r="253" ht="15.75" customHeight="1">
      <c r="B253" s="13"/>
      <c r="D253" s="16"/>
      <c r="E253" s="16"/>
      <c r="F253" s="19"/>
      <c r="G253" s="20"/>
      <c r="H253" s="24"/>
      <c r="I253" s="25"/>
    </row>
    <row r="254" ht="15.75" customHeight="1">
      <c r="B254" s="13"/>
      <c r="D254" s="16"/>
      <c r="E254" s="16"/>
      <c r="F254" s="19"/>
      <c r="G254" s="20"/>
      <c r="H254" s="24"/>
      <c r="I254" s="25"/>
    </row>
    <row r="255" ht="15.75" customHeight="1">
      <c r="B255" s="13"/>
      <c r="D255" s="16"/>
      <c r="E255" s="16"/>
      <c r="F255" s="19"/>
      <c r="G255" s="20"/>
      <c r="H255" s="24"/>
      <c r="I255" s="25"/>
    </row>
    <row r="256" ht="15.75" customHeight="1">
      <c r="B256" s="13"/>
      <c r="D256" s="16"/>
      <c r="E256" s="16"/>
      <c r="F256" s="19"/>
      <c r="G256" s="20"/>
      <c r="H256" s="24"/>
      <c r="I256" s="25"/>
    </row>
    <row r="257" ht="15.75" customHeight="1">
      <c r="B257" s="13"/>
      <c r="D257" s="16"/>
      <c r="E257" s="16"/>
      <c r="F257" s="19"/>
      <c r="G257" s="20"/>
      <c r="H257" s="24"/>
      <c r="I257" s="25"/>
    </row>
    <row r="258" ht="15.75" customHeight="1">
      <c r="B258" s="13"/>
      <c r="D258" s="16"/>
      <c r="E258" s="16"/>
      <c r="F258" s="19"/>
      <c r="G258" s="20"/>
      <c r="H258" s="24"/>
      <c r="I258" s="25"/>
    </row>
    <row r="259" ht="15.75" customHeight="1">
      <c r="B259" s="13"/>
      <c r="D259" s="16"/>
      <c r="E259" s="16"/>
      <c r="F259" s="19"/>
      <c r="G259" s="20"/>
      <c r="H259" s="24"/>
      <c r="I259" s="25"/>
    </row>
    <row r="260" ht="15.75" customHeight="1">
      <c r="B260" s="13"/>
      <c r="D260" s="16"/>
      <c r="E260" s="16"/>
      <c r="F260" s="19"/>
      <c r="G260" s="20"/>
      <c r="H260" s="24"/>
      <c r="I260" s="25"/>
    </row>
    <row r="261" ht="15.75" customHeight="1">
      <c r="B261" s="13"/>
      <c r="D261" s="16"/>
      <c r="E261" s="16"/>
      <c r="F261" s="19"/>
      <c r="G261" s="20"/>
      <c r="H261" s="24"/>
      <c r="I261" s="25"/>
    </row>
    <row r="262" ht="15.75" customHeight="1">
      <c r="B262" s="13"/>
      <c r="D262" s="16"/>
      <c r="E262" s="16"/>
      <c r="F262" s="19"/>
      <c r="G262" s="20"/>
      <c r="H262" s="24"/>
      <c r="I262" s="25"/>
    </row>
    <row r="263" ht="15.75" customHeight="1">
      <c r="B263" s="13"/>
      <c r="D263" s="16"/>
      <c r="E263" s="16"/>
      <c r="F263" s="19"/>
      <c r="G263" s="20"/>
      <c r="H263" s="24"/>
      <c r="I263" s="25"/>
    </row>
    <row r="264" ht="15.75" customHeight="1">
      <c r="B264" s="13"/>
      <c r="D264" s="16"/>
      <c r="E264" s="16"/>
      <c r="F264" s="19"/>
      <c r="G264" s="20"/>
      <c r="H264" s="24"/>
      <c r="I264" s="25"/>
    </row>
    <row r="265" ht="15.75" customHeight="1">
      <c r="B265" s="13"/>
      <c r="D265" s="16"/>
      <c r="E265" s="16"/>
      <c r="F265" s="19"/>
      <c r="G265" s="20"/>
      <c r="H265" s="24"/>
      <c r="I265" s="25"/>
    </row>
    <row r="266" ht="15.75" customHeight="1">
      <c r="B266" s="13"/>
      <c r="D266" s="16"/>
      <c r="E266" s="16"/>
      <c r="F266" s="19"/>
      <c r="G266" s="20"/>
      <c r="H266" s="24"/>
      <c r="I266" s="25"/>
    </row>
    <row r="267" ht="15.75" customHeight="1">
      <c r="B267" s="13"/>
      <c r="D267" s="16"/>
      <c r="E267" s="16"/>
      <c r="F267" s="19"/>
      <c r="G267" s="20"/>
      <c r="H267" s="24"/>
      <c r="I267" s="25"/>
    </row>
    <row r="268" ht="15.75" customHeight="1">
      <c r="B268" s="13"/>
      <c r="D268" s="16"/>
      <c r="E268" s="16"/>
      <c r="F268" s="19"/>
      <c r="G268" s="20"/>
      <c r="H268" s="24"/>
      <c r="I268" s="25"/>
    </row>
    <row r="269" ht="15.75" customHeight="1">
      <c r="B269" s="13"/>
      <c r="D269" s="16"/>
      <c r="E269" s="16"/>
      <c r="F269" s="19"/>
      <c r="G269" s="20"/>
      <c r="H269" s="24"/>
      <c r="I269" s="25"/>
    </row>
    <row r="270" ht="15.75" customHeight="1">
      <c r="B270" s="13"/>
      <c r="D270" s="16"/>
      <c r="E270" s="16"/>
      <c r="F270" s="19"/>
      <c r="G270" s="20"/>
      <c r="H270" s="24"/>
      <c r="I270" s="25"/>
    </row>
    <row r="271" ht="15.75" customHeight="1">
      <c r="B271" s="13"/>
      <c r="D271" s="16"/>
      <c r="E271" s="16"/>
      <c r="F271" s="19"/>
      <c r="G271" s="20"/>
      <c r="H271" s="24"/>
      <c r="I271" s="25"/>
    </row>
    <row r="272" ht="15.75" customHeight="1">
      <c r="B272" s="13"/>
      <c r="D272" s="16"/>
      <c r="E272" s="16"/>
      <c r="F272" s="19"/>
      <c r="G272" s="20"/>
      <c r="H272" s="24"/>
      <c r="I272" s="25"/>
    </row>
    <row r="273" ht="15.75" customHeight="1">
      <c r="B273" s="13"/>
      <c r="D273" s="16"/>
      <c r="E273" s="16"/>
      <c r="F273" s="19"/>
      <c r="G273" s="20"/>
      <c r="H273" s="24"/>
      <c r="I273" s="25"/>
    </row>
    <row r="274" ht="15.75" customHeight="1">
      <c r="B274" s="13"/>
      <c r="D274" s="16"/>
      <c r="E274" s="16"/>
      <c r="F274" s="19"/>
      <c r="G274" s="20"/>
      <c r="H274" s="24"/>
      <c r="I274" s="25"/>
    </row>
    <row r="275" ht="15.75" customHeight="1">
      <c r="B275" s="13"/>
      <c r="D275" s="16"/>
      <c r="E275" s="16"/>
      <c r="F275" s="19"/>
      <c r="G275" s="20"/>
      <c r="H275" s="24"/>
      <c r="I275" s="25"/>
    </row>
    <row r="276" ht="15.75" customHeight="1">
      <c r="B276" s="13"/>
      <c r="D276" s="16"/>
      <c r="E276" s="16"/>
      <c r="F276" s="19"/>
      <c r="G276" s="20"/>
      <c r="H276" s="24"/>
      <c r="I276" s="25"/>
    </row>
    <row r="277" ht="15.75" customHeight="1">
      <c r="B277" s="13"/>
      <c r="D277" s="16"/>
      <c r="E277" s="16"/>
      <c r="F277" s="19"/>
      <c r="G277" s="20"/>
      <c r="H277" s="24"/>
      <c r="I277" s="25"/>
    </row>
    <row r="278" ht="15.75" customHeight="1">
      <c r="B278" s="13"/>
      <c r="D278" s="16"/>
      <c r="E278" s="16"/>
      <c r="F278" s="19"/>
      <c r="G278" s="20"/>
      <c r="H278" s="24"/>
      <c r="I278" s="25"/>
    </row>
    <row r="279" ht="15.75" customHeight="1">
      <c r="B279" s="13"/>
      <c r="D279" s="16"/>
      <c r="E279" s="16"/>
      <c r="F279" s="19"/>
      <c r="G279" s="20"/>
      <c r="H279" s="24"/>
      <c r="I279" s="25"/>
    </row>
    <row r="280" ht="15.75" customHeight="1">
      <c r="B280" s="13"/>
      <c r="D280" s="16"/>
      <c r="E280" s="16"/>
      <c r="F280" s="19"/>
      <c r="G280" s="20"/>
      <c r="H280" s="24"/>
      <c r="I280" s="25"/>
    </row>
    <row r="281" ht="15.75" customHeight="1">
      <c r="B281" s="13"/>
      <c r="D281" s="16"/>
      <c r="E281" s="16"/>
      <c r="F281" s="19"/>
      <c r="G281" s="20"/>
      <c r="H281" s="24"/>
      <c r="I281" s="25"/>
    </row>
    <row r="282" ht="15.75" customHeight="1">
      <c r="B282" s="13"/>
      <c r="D282" s="16"/>
      <c r="E282" s="16"/>
      <c r="F282" s="19"/>
      <c r="G282" s="20"/>
      <c r="H282" s="24"/>
      <c r="I282" s="25"/>
    </row>
    <row r="283" ht="15.75" customHeight="1">
      <c r="B283" s="13"/>
      <c r="D283" s="16"/>
      <c r="E283" s="16"/>
      <c r="F283" s="19"/>
      <c r="G283" s="20"/>
      <c r="H283" s="24"/>
      <c r="I283" s="25"/>
    </row>
    <row r="284" ht="15.75" customHeight="1">
      <c r="B284" s="13"/>
      <c r="D284" s="16"/>
      <c r="E284" s="16"/>
      <c r="F284" s="19"/>
      <c r="G284" s="20"/>
      <c r="H284" s="24"/>
      <c r="I284" s="25"/>
    </row>
    <row r="285" ht="15.75" customHeight="1">
      <c r="B285" s="13"/>
      <c r="D285" s="16"/>
      <c r="E285" s="16"/>
      <c r="F285" s="19"/>
      <c r="G285" s="20"/>
      <c r="H285" s="24"/>
      <c r="I285" s="25"/>
    </row>
    <row r="286" ht="15.75" customHeight="1">
      <c r="B286" s="13"/>
      <c r="D286" s="16"/>
      <c r="E286" s="16"/>
      <c r="F286" s="19"/>
      <c r="G286" s="20"/>
      <c r="H286" s="24"/>
      <c r="I286" s="25"/>
    </row>
    <row r="287" ht="15.75" customHeight="1">
      <c r="B287" s="13"/>
      <c r="D287" s="16"/>
      <c r="E287" s="16"/>
      <c r="F287" s="19"/>
      <c r="G287" s="20"/>
      <c r="H287" s="24"/>
      <c r="I287" s="25"/>
    </row>
    <row r="288" ht="15.75" customHeight="1">
      <c r="B288" s="13"/>
      <c r="D288" s="16"/>
      <c r="E288" s="16"/>
      <c r="F288" s="19"/>
      <c r="G288" s="20"/>
      <c r="H288" s="24"/>
      <c r="I288" s="25"/>
    </row>
    <row r="289" ht="15.75" customHeight="1">
      <c r="B289" s="13"/>
      <c r="D289" s="16"/>
      <c r="E289" s="16"/>
      <c r="F289" s="19"/>
      <c r="G289" s="20"/>
      <c r="H289" s="24"/>
      <c r="I289" s="25"/>
    </row>
    <row r="290" ht="15.75" customHeight="1">
      <c r="B290" s="13"/>
      <c r="D290" s="16"/>
      <c r="E290" s="16"/>
      <c r="F290" s="19"/>
      <c r="G290" s="20"/>
      <c r="H290" s="24"/>
      <c r="I290" s="25"/>
    </row>
    <row r="291" ht="15.75" customHeight="1">
      <c r="B291" s="13"/>
      <c r="D291" s="16"/>
      <c r="E291" s="16"/>
      <c r="F291" s="19"/>
      <c r="G291" s="20"/>
      <c r="H291" s="24"/>
      <c r="I291" s="25"/>
    </row>
    <row r="292" ht="15.75" customHeight="1">
      <c r="B292" s="13"/>
      <c r="D292" s="16"/>
      <c r="E292" s="16"/>
      <c r="F292" s="19"/>
      <c r="G292" s="20"/>
      <c r="H292" s="24"/>
      <c r="I292" s="25"/>
    </row>
    <row r="293" ht="15.75" customHeight="1">
      <c r="B293" s="13"/>
      <c r="D293" s="16"/>
      <c r="E293" s="16"/>
      <c r="F293" s="19"/>
      <c r="G293" s="20"/>
      <c r="H293" s="24"/>
      <c r="I293" s="25"/>
    </row>
    <row r="294" ht="15.75" customHeight="1">
      <c r="B294" s="13"/>
      <c r="D294" s="16"/>
      <c r="E294" s="16"/>
      <c r="F294" s="19"/>
      <c r="G294" s="20"/>
      <c r="H294" s="24"/>
      <c r="I294" s="25"/>
    </row>
    <row r="295" ht="15.75" customHeight="1">
      <c r="B295" s="13"/>
      <c r="D295" s="16"/>
      <c r="E295" s="16"/>
      <c r="F295" s="19"/>
      <c r="G295" s="20"/>
      <c r="H295" s="24"/>
      <c r="I295" s="25"/>
    </row>
    <row r="296" ht="15.75" customHeight="1">
      <c r="B296" s="13"/>
      <c r="D296" s="16"/>
      <c r="E296" s="16"/>
      <c r="F296" s="19"/>
      <c r="G296" s="20"/>
      <c r="H296" s="24"/>
      <c r="I296" s="25"/>
    </row>
    <row r="297" ht="15.75" customHeight="1">
      <c r="B297" s="13"/>
      <c r="D297" s="16"/>
      <c r="E297" s="16"/>
      <c r="F297" s="19"/>
      <c r="G297" s="20"/>
      <c r="H297" s="24"/>
      <c r="I297" s="25"/>
    </row>
    <row r="298" ht="15.75" customHeight="1">
      <c r="B298" s="13"/>
      <c r="D298" s="16"/>
      <c r="E298" s="16"/>
      <c r="F298" s="19"/>
      <c r="G298" s="20"/>
      <c r="H298" s="24"/>
      <c r="I298" s="25"/>
    </row>
    <row r="299" ht="15.75" customHeight="1">
      <c r="B299" s="13"/>
      <c r="D299" s="16"/>
      <c r="E299" s="16"/>
      <c r="F299" s="19"/>
      <c r="G299" s="20"/>
      <c r="H299" s="24"/>
      <c r="I299" s="25"/>
    </row>
    <row r="300" ht="15.75" customHeight="1">
      <c r="B300" s="13"/>
      <c r="D300" s="16"/>
      <c r="E300" s="16"/>
      <c r="F300" s="19"/>
      <c r="G300" s="20"/>
      <c r="H300" s="24"/>
      <c r="I300" s="25"/>
    </row>
    <row r="301" ht="15.75" customHeight="1">
      <c r="B301" s="13"/>
      <c r="D301" s="16"/>
      <c r="E301" s="16"/>
      <c r="F301" s="19"/>
      <c r="G301" s="20"/>
      <c r="H301" s="24"/>
      <c r="I301" s="25"/>
    </row>
    <row r="302" ht="15.75" customHeight="1">
      <c r="B302" s="13"/>
      <c r="D302" s="16"/>
      <c r="E302" s="16"/>
      <c r="F302" s="19"/>
      <c r="G302" s="20"/>
      <c r="H302" s="24"/>
      <c r="I302" s="25"/>
    </row>
    <row r="303" ht="15.75" customHeight="1">
      <c r="B303" s="13"/>
      <c r="D303" s="16"/>
      <c r="E303" s="16"/>
      <c r="F303" s="19"/>
      <c r="G303" s="20"/>
      <c r="H303" s="24"/>
      <c r="I303" s="25"/>
    </row>
    <row r="304" ht="15.75" customHeight="1">
      <c r="B304" s="13"/>
      <c r="D304" s="16"/>
      <c r="E304" s="16"/>
      <c r="F304" s="19"/>
      <c r="G304" s="20"/>
      <c r="H304" s="24"/>
      <c r="I304" s="25"/>
    </row>
    <row r="305" ht="15.75" customHeight="1">
      <c r="B305" s="13"/>
      <c r="D305" s="16"/>
      <c r="E305" s="16"/>
      <c r="F305" s="19"/>
      <c r="G305" s="20"/>
      <c r="H305" s="24"/>
      <c r="I305" s="25"/>
    </row>
    <row r="306" ht="15.75" customHeight="1">
      <c r="B306" s="13"/>
      <c r="D306" s="16"/>
      <c r="E306" s="16"/>
      <c r="F306" s="19"/>
      <c r="G306" s="20"/>
      <c r="H306" s="24"/>
      <c r="I306" s="25"/>
    </row>
    <row r="307" ht="15.75" customHeight="1">
      <c r="B307" s="13"/>
      <c r="D307" s="16"/>
      <c r="E307" s="16"/>
      <c r="F307" s="19"/>
      <c r="G307" s="20"/>
      <c r="H307" s="24"/>
      <c r="I307" s="25"/>
    </row>
    <row r="308" ht="15.75" customHeight="1">
      <c r="B308" s="13"/>
      <c r="D308" s="16"/>
      <c r="E308" s="16"/>
      <c r="F308" s="19"/>
      <c r="G308" s="20"/>
      <c r="H308" s="24"/>
      <c r="I308" s="25"/>
    </row>
    <row r="309" ht="15.75" customHeight="1">
      <c r="B309" s="13"/>
      <c r="D309" s="16"/>
      <c r="E309" s="16"/>
      <c r="F309" s="19"/>
      <c r="G309" s="20"/>
      <c r="H309" s="24"/>
      <c r="I309" s="25"/>
    </row>
    <row r="310" ht="15.75" customHeight="1">
      <c r="B310" s="13"/>
      <c r="D310" s="16"/>
      <c r="E310" s="16"/>
      <c r="F310" s="19"/>
      <c r="G310" s="20"/>
      <c r="H310" s="24"/>
      <c r="I310" s="25"/>
    </row>
    <row r="311" ht="15.75" customHeight="1">
      <c r="B311" s="13"/>
      <c r="D311" s="16"/>
      <c r="E311" s="16"/>
      <c r="F311" s="19"/>
      <c r="G311" s="20"/>
      <c r="H311" s="24"/>
      <c r="I311" s="25"/>
    </row>
    <row r="312" ht="15.75" customHeight="1">
      <c r="B312" s="13"/>
      <c r="D312" s="16"/>
      <c r="E312" s="16"/>
      <c r="F312" s="19"/>
      <c r="G312" s="20"/>
      <c r="H312" s="24"/>
      <c r="I312" s="25"/>
    </row>
    <row r="313" ht="15.75" customHeight="1">
      <c r="B313" s="13"/>
      <c r="D313" s="16"/>
      <c r="E313" s="16"/>
      <c r="F313" s="19"/>
      <c r="G313" s="20"/>
      <c r="H313" s="24"/>
      <c r="I313" s="25"/>
    </row>
    <row r="314" ht="15.75" customHeight="1">
      <c r="B314" s="13"/>
      <c r="D314" s="16"/>
      <c r="E314" s="16"/>
      <c r="F314" s="19"/>
      <c r="G314" s="20"/>
      <c r="H314" s="24"/>
      <c r="I314" s="25"/>
    </row>
    <row r="315" ht="15.75" customHeight="1">
      <c r="B315" s="13"/>
      <c r="D315" s="16"/>
      <c r="E315" s="16"/>
      <c r="F315" s="19"/>
      <c r="G315" s="20"/>
      <c r="H315" s="24"/>
      <c r="I315" s="25"/>
    </row>
    <row r="316" ht="15.75" customHeight="1">
      <c r="B316" s="13"/>
      <c r="D316" s="16"/>
      <c r="E316" s="16"/>
      <c r="F316" s="19"/>
      <c r="G316" s="20"/>
      <c r="H316" s="24"/>
      <c r="I316" s="25"/>
    </row>
    <row r="317" ht="15.75" customHeight="1">
      <c r="B317" s="13"/>
      <c r="D317" s="16"/>
      <c r="E317" s="16"/>
      <c r="F317" s="19"/>
      <c r="G317" s="20"/>
      <c r="H317" s="24"/>
      <c r="I317" s="25"/>
    </row>
    <row r="318" ht="15.75" customHeight="1">
      <c r="B318" s="13"/>
      <c r="D318" s="16"/>
      <c r="E318" s="16"/>
      <c r="F318" s="19"/>
      <c r="G318" s="20"/>
      <c r="H318" s="24"/>
      <c r="I318" s="25"/>
    </row>
    <row r="319" ht="15.75" customHeight="1">
      <c r="B319" s="13"/>
      <c r="D319" s="16"/>
      <c r="E319" s="16"/>
      <c r="F319" s="19"/>
      <c r="G319" s="20"/>
      <c r="H319" s="24"/>
      <c r="I319" s="25"/>
    </row>
    <row r="320" ht="15.75" customHeight="1">
      <c r="B320" s="13"/>
      <c r="D320" s="16"/>
      <c r="E320" s="16"/>
      <c r="F320" s="19"/>
      <c r="G320" s="20"/>
      <c r="H320" s="24"/>
      <c r="I320" s="25"/>
    </row>
    <row r="321" ht="15.75" customHeight="1">
      <c r="B321" s="13"/>
      <c r="D321" s="16"/>
      <c r="E321" s="16"/>
      <c r="F321" s="19"/>
      <c r="G321" s="20"/>
      <c r="H321" s="24"/>
      <c r="I321" s="25"/>
    </row>
    <row r="322" ht="15.75" customHeight="1">
      <c r="B322" s="13"/>
      <c r="D322" s="16"/>
      <c r="E322" s="16"/>
      <c r="F322" s="19"/>
      <c r="G322" s="20"/>
      <c r="H322" s="24"/>
      <c r="I322" s="25"/>
    </row>
    <row r="323" ht="15.75" customHeight="1">
      <c r="B323" s="13"/>
      <c r="D323" s="16"/>
      <c r="E323" s="16"/>
      <c r="F323" s="19"/>
      <c r="G323" s="20"/>
      <c r="H323" s="24"/>
      <c r="I323" s="25"/>
    </row>
    <row r="324" ht="15.75" customHeight="1">
      <c r="B324" s="13"/>
      <c r="D324" s="16"/>
      <c r="E324" s="16"/>
      <c r="F324" s="19"/>
      <c r="G324" s="20"/>
      <c r="H324" s="24"/>
      <c r="I324" s="25"/>
    </row>
    <row r="325" ht="15.75" customHeight="1">
      <c r="B325" s="13"/>
      <c r="D325" s="16"/>
      <c r="E325" s="16"/>
      <c r="F325" s="19"/>
      <c r="G325" s="20"/>
      <c r="H325" s="24"/>
      <c r="I325" s="25"/>
    </row>
    <row r="326" ht="15.75" customHeight="1">
      <c r="B326" s="13"/>
      <c r="D326" s="16"/>
      <c r="E326" s="16"/>
      <c r="F326" s="19"/>
      <c r="G326" s="20"/>
      <c r="H326" s="24"/>
      <c r="I326" s="25"/>
    </row>
    <row r="327" ht="15.75" customHeight="1">
      <c r="B327" s="13"/>
      <c r="D327" s="16"/>
      <c r="E327" s="16"/>
      <c r="F327" s="19"/>
      <c r="G327" s="20"/>
      <c r="H327" s="24"/>
      <c r="I327" s="25"/>
    </row>
    <row r="328" ht="15.75" customHeight="1">
      <c r="B328" s="13"/>
      <c r="D328" s="16"/>
      <c r="E328" s="16"/>
      <c r="F328" s="19"/>
      <c r="G328" s="20"/>
      <c r="H328" s="24"/>
      <c r="I328" s="25"/>
    </row>
    <row r="329" ht="15.75" customHeight="1">
      <c r="B329" s="13"/>
      <c r="D329" s="16"/>
      <c r="E329" s="16"/>
      <c r="F329" s="19"/>
      <c r="G329" s="20"/>
      <c r="H329" s="24"/>
      <c r="I329" s="25"/>
    </row>
    <row r="330" ht="15.75" customHeight="1">
      <c r="B330" s="13"/>
      <c r="D330" s="16"/>
      <c r="E330" s="16"/>
      <c r="F330" s="19"/>
      <c r="G330" s="20"/>
      <c r="H330" s="24"/>
      <c r="I330" s="25"/>
    </row>
    <row r="331" ht="15.75" customHeight="1">
      <c r="B331" s="13"/>
      <c r="D331" s="16"/>
      <c r="E331" s="16"/>
      <c r="F331" s="19"/>
      <c r="G331" s="20"/>
      <c r="H331" s="24"/>
      <c r="I331" s="25"/>
    </row>
    <row r="332" ht="15.75" customHeight="1">
      <c r="B332" s="13"/>
      <c r="D332" s="16"/>
      <c r="E332" s="16"/>
      <c r="F332" s="19"/>
      <c r="G332" s="20"/>
      <c r="H332" s="24"/>
      <c r="I332" s="25"/>
    </row>
    <row r="333" ht="15.75" customHeight="1">
      <c r="B333" s="13"/>
      <c r="D333" s="16"/>
      <c r="E333" s="16"/>
      <c r="F333" s="19"/>
      <c r="G333" s="20"/>
      <c r="H333" s="24"/>
      <c r="I333" s="25"/>
    </row>
    <row r="334" ht="15.75" customHeight="1">
      <c r="B334" s="13"/>
      <c r="D334" s="16"/>
      <c r="E334" s="16"/>
      <c r="F334" s="19"/>
      <c r="G334" s="20"/>
      <c r="H334" s="24"/>
      <c r="I334" s="25"/>
    </row>
    <row r="335" ht="15.75" customHeight="1">
      <c r="B335" s="13"/>
      <c r="D335" s="16"/>
      <c r="E335" s="16"/>
      <c r="F335" s="19"/>
      <c r="G335" s="20"/>
      <c r="H335" s="24"/>
      <c r="I335" s="25"/>
    </row>
    <row r="336" ht="15.75" customHeight="1">
      <c r="B336" s="13"/>
      <c r="D336" s="16"/>
      <c r="E336" s="16"/>
      <c r="F336" s="19"/>
      <c r="G336" s="20"/>
      <c r="H336" s="24"/>
      <c r="I336" s="25"/>
    </row>
    <row r="337" ht="15.75" customHeight="1">
      <c r="B337" s="13"/>
      <c r="D337" s="16"/>
      <c r="E337" s="16"/>
      <c r="F337" s="19"/>
      <c r="G337" s="20"/>
      <c r="H337" s="24"/>
      <c r="I337" s="25"/>
    </row>
    <row r="338" ht="15.75" customHeight="1">
      <c r="B338" s="13"/>
      <c r="D338" s="16"/>
      <c r="E338" s="16"/>
      <c r="F338" s="19"/>
      <c r="G338" s="20"/>
      <c r="H338" s="24"/>
      <c r="I338" s="25"/>
    </row>
    <row r="339" ht="15.75" customHeight="1">
      <c r="B339" s="13"/>
      <c r="D339" s="16"/>
      <c r="E339" s="16"/>
      <c r="F339" s="19"/>
      <c r="G339" s="20"/>
      <c r="H339" s="24"/>
      <c r="I339" s="25"/>
    </row>
    <row r="340" ht="15.75" customHeight="1">
      <c r="B340" s="13"/>
      <c r="D340" s="16"/>
      <c r="E340" s="16"/>
      <c r="F340" s="19"/>
      <c r="G340" s="20"/>
      <c r="H340" s="24"/>
      <c r="I340" s="25"/>
    </row>
    <row r="341" ht="15.75" customHeight="1">
      <c r="B341" s="13"/>
      <c r="D341" s="16"/>
      <c r="E341" s="16"/>
      <c r="F341" s="19"/>
      <c r="G341" s="20"/>
      <c r="H341" s="24"/>
      <c r="I341" s="25"/>
    </row>
    <row r="342" ht="15.75" customHeight="1">
      <c r="B342" s="13"/>
      <c r="D342" s="16"/>
      <c r="E342" s="16"/>
      <c r="F342" s="19"/>
      <c r="G342" s="20"/>
      <c r="H342" s="24"/>
      <c r="I342" s="25"/>
    </row>
    <row r="343" ht="15.75" customHeight="1">
      <c r="B343" s="13"/>
      <c r="D343" s="16"/>
      <c r="E343" s="16"/>
      <c r="F343" s="19"/>
      <c r="G343" s="20"/>
      <c r="H343" s="24"/>
      <c r="I343" s="25"/>
    </row>
    <row r="344" ht="15.75" customHeight="1">
      <c r="B344" s="13"/>
      <c r="D344" s="16"/>
      <c r="E344" s="16"/>
      <c r="F344" s="19"/>
      <c r="G344" s="20"/>
      <c r="H344" s="24"/>
      <c r="I344" s="25"/>
    </row>
    <row r="345" ht="15.75" customHeight="1">
      <c r="B345" s="13"/>
      <c r="D345" s="16"/>
      <c r="E345" s="16"/>
      <c r="F345" s="19"/>
      <c r="G345" s="20"/>
      <c r="H345" s="24"/>
      <c r="I345" s="25"/>
    </row>
    <row r="346" ht="15.75" customHeight="1">
      <c r="B346" s="13"/>
      <c r="D346" s="16"/>
      <c r="E346" s="16"/>
      <c r="F346" s="19"/>
      <c r="G346" s="20"/>
      <c r="H346" s="24"/>
      <c r="I346" s="25"/>
    </row>
    <row r="347" ht="15.75" customHeight="1">
      <c r="B347" s="13"/>
      <c r="D347" s="16"/>
      <c r="E347" s="16"/>
      <c r="F347" s="19"/>
      <c r="G347" s="20"/>
      <c r="H347" s="24"/>
      <c r="I347" s="25"/>
    </row>
    <row r="348" ht="15.75" customHeight="1">
      <c r="B348" s="13"/>
      <c r="D348" s="16"/>
      <c r="E348" s="16"/>
      <c r="F348" s="19"/>
      <c r="G348" s="20"/>
      <c r="H348" s="24"/>
      <c r="I348" s="25"/>
    </row>
    <row r="349" ht="15.75" customHeight="1">
      <c r="B349" s="13"/>
      <c r="D349" s="16"/>
      <c r="E349" s="16"/>
      <c r="F349" s="19"/>
      <c r="G349" s="20"/>
      <c r="H349" s="24"/>
      <c r="I349" s="25"/>
    </row>
    <row r="350" ht="15.75" customHeight="1">
      <c r="B350" s="13"/>
      <c r="D350" s="16"/>
      <c r="E350" s="16"/>
      <c r="F350" s="19"/>
      <c r="G350" s="20"/>
      <c r="H350" s="24"/>
      <c r="I350" s="25"/>
    </row>
    <row r="351" ht="15.75" customHeight="1">
      <c r="B351" s="13"/>
      <c r="D351" s="16"/>
      <c r="E351" s="16"/>
      <c r="F351" s="19"/>
      <c r="G351" s="20"/>
      <c r="H351" s="24"/>
      <c r="I351" s="25"/>
    </row>
    <row r="352" ht="15.75" customHeight="1">
      <c r="B352" s="13"/>
      <c r="D352" s="16"/>
      <c r="E352" s="16"/>
      <c r="F352" s="19"/>
      <c r="G352" s="20"/>
      <c r="H352" s="24"/>
      <c r="I352" s="25"/>
    </row>
    <row r="353" ht="15.75" customHeight="1">
      <c r="B353" s="13"/>
      <c r="D353" s="16"/>
      <c r="E353" s="16"/>
      <c r="F353" s="19"/>
      <c r="G353" s="20"/>
      <c r="H353" s="24"/>
      <c r="I353" s="25"/>
    </row>
    <row r="354" ht="15.75" customHeight="1">
      <c r="B354" s="13"/>
      <c r="D354" s="16"/>
      <c r="E354" s="16"/>
      <c r="F354" s="19"/>
      <c r="G354" s="20"/>
      <c r="H354" s="24"/>
      <c r="I354" s="25"/>
    </row>
    <row r="355" ht="15.75" customHeight="1">
      <c r="B355" s="13"/>
      <c r="D355" s="16"/>
      <c r="E355" s="16"/>
      <c r="F355" s="19"/>
      <c r="G355" s="20"/>
      <c r="H355" s="24"/>
      <c r="I355" s="25"/>
    </row>
    <row r="356" ht="15.75" customHeight="1">
      <c r="B356" s="13"/>
      <c r="D356" s="16"/>
      <c r="E356" s="16"/>
      <c r="F356" s="19"/>
      <c r="G356" s="20"/>
      <c r="H356" s="24"/>
      <c r="I356" s="25"/>
    </row>
    <row r="357" ht="15.75" customHeight="1">
      <c r="B357" s="13"/>
      <c r="D357" s="16"/>
      <c r="E357" s="16"/>
      <c r="F357" s="19"/>
      <c r="G357" s="20"/>
      <c r="H357" s="24"/>
      <c r="I357" s="25"/>
    </row>
    <row r="358" ht="15.75" customHeight="1">
      <c r="B358" s="13"/>
      <c r="D358" s="16"/>
      <c r="E358" s="16"/>
      <c r="F358" s="19"/>
      <c r="G358" s="20"/>
      <c r="H358" s="24"/>
      <c r="I358" s="25"/>
    </row>
    <row r="359" ht="15.75" customHeight="1">
      <c r="B359" s="13"/>
      <c r="D359" s="16"/>
      <c r="E359" s="16"/>
      <c r="F359" s="19"/>
      <c r="G359" s="20"/>
      <c r="H359" s="24"/>
      <c r="I359" s="25"/>
    </row>
    <row r="360" ht="15.75" customHeight="1">
      <c r="B360" s="13"/>
      <c r="D360" s="16"/>
      <c r="E360" s="16"/>
      <c r="F360" s="19"/>
      <c r="G360" s="20"/>
      <c r="H360" s="24"/>
      <c r="I360" s="25"/>
    </row>
    <row r="361" ht="15.75" customHeight="1">
      <c r="B361" s="13"/>
      <c r="D361" s="16"/>
      <c r="E361" s="16"/>
      <c r="F361" s="19"/>
      <c r="G361" s="20"/>
      <c r="H361" s="24"/>
      <c r="I361" s="25"/>
    </row>
    <row r="362" ht="15.75" customHeight="1">
      <c r="B362" s="13"/>
      <c r="D362" s="16"/>
      <c r="E362" s="16"/>
      <c r="F362" s="19"/>
      <c r="G362" s="20"/>
      <c r="H362" s="24"/>
      <c r="I362" s="25"/>
    </row>
    <row r="363" ht="15.75" customHeight="1">
      <c r="B363" s="13"/>
      <c r="D363" s="16"/>
      <c r="E363" s="16"/>
      <c r="F363" s="19"/>
      <c r="G363" s="20"/>
      <c r="H363" s="24"/>
      <c r="I363" s="25"/>
    </row>
    <row r="364" ht="15.75" customHeight="1">
      <c r="B364" s="13"/>
      <c r="D364" s="16"/>
      <c r="E364" s="16"/>
      <c r="F364" s="19"/>
      <c r="G364" s="20"/>
      <c r="H364" s="24"/>
      <c r="I364" s="25"/>
    </row>
    <row r="365" ht="15.75" customHeight="1">
      <c r="B365" s="13"/>
      <c r="D365" s="16"/>
      <c r="E365" s="16"/>
      <c r="F365" s="19"/>
      <c r="G365" s="20"/>
      <c r="H365" s="24"/>
      <c r="I365" s="25"/>
    </row>
    <row r="366" ht="15.75" customHeight="1">
      <c r="B366" s="13"/>
      <c r="D366" s="16"/>
      <c r="E366" s="16"/>
      <c r="F366" s="19"/>
      <c r="G366" s="20"/>
      <c r="H366" s="24"/>
      <c r="I366" s="25"/>
    </row>
    <row r="367" ht="15.75" customHeight="1">
      <c r="B367" s="13"/>
      <c r="D367" s="16"/>
      <c r="E367" s="16"/>
      <c r="F367" s="19"/>
      <c r="G367" s="20"/>
      <c r="H367" s="24"/>
      <c r="I367" s="25"/>
    </row>
    <row r="368" ht="15.75" customHeight="1">
      <c r="B368" s="13"/>
      <c r="D368" s="16"/>
      <c r="E368" s="16"/>
      <c r="F368" s="19"/>
      <c r="G368" s="20"/>
      <c r="H368" s="24"/>
      <c r="I368" s="25"/>
    </row>
    <row r="369" ht="15.75" customHeight="1">
      <c r="B369" s="13"/>
      <c r="D369" s="16"/>
      <c r="E369" s="16"/>
      <c r="F369" s="19"/>
      <c r="G369" s="20"/>
      <c r="H369" s="24"/>
      <c r="I369" s="25"/>
    </row>
    <row r="370" ht="15.75" customHeight="1">
      <c r="B370" s="13"/>
      <c r="D370" s="16"/>
      <c r="E370" s="16"/>
      <c r="F370" s="19"/>
      <c r="G370" s="20"/>
      <c r="H370" s="24"/>
      <c r="I370" s="25"/>
    </row>
    <row r="371" ht="15.75" customHeight="1">
      <c r="B371" s="13"/>
      <c r="D371" s="16"/>
      <c r="E371" s="16"/>
      <c r="F371" s="19"/>
      <c r="G371" s="20"/>
      <c r="H371" s="24"/>
      <c r="I371" s="25"/>
    </row>
    <row r="372" ht="15.75" customHeight="1">
      <c r="B372" s="13"/>
      <c r="D372" s="16"/>
      <c r="E372" s="16"/>
      <c r="F372" s="19"/>
      <c r="G372" s="20"/>
      <c r="H372" s="24"/>
      <c r="I372" s="25"/>
    </row>
    <row r="373" ht="15.75" customHeight="1">
      <c r="B373" s="13"/>
      <c r="D373" s="16"/>
      <c r="E373" s="16"/>
      <c r="F373" s="19"/>
      <c r="G373" s="20"/>
      <c r="H373" s="24"/>
      <c r="I373" s="25"/>
    </row>
    <row r="374" ht="15.75" customHeight="1">
      <c r="B374" s="13"/>
      <c r="D374" s="16"/>
      <c r="E374" s="16"/>
      <c r="F374" s="19"/>
      <c r="G374" s="20"/>
      <c r="H374" s="24"/>
      <c r="I374" s="25"/>
    </row>
    <row r="375" ht="15.75" customHeight="1">
      <c r="B375" s="13"/>
      <c r="D375" s="16"/>
      <c r="E375" s="16"/>
      <c r="F375" s="19"/>
      <c r="G375" s="20"/>
      <c r="H375" s="24"/>
      <c r="I375" s="25"/>
    </row>
    <row r="376" ht="15.75" customHeight="1">
      <c r="B376" s="13"/>
      <c r="D376" s="16"/>
      <c r="E376" s="16"/>
      <c r="F376" s="19"/>
      <c r="G376" s="20"/>
      <c r="H376" s="24"/>
      <c r="I376" s="25"/>
    </row>
    <row r="377" ht="15.75" customHeight="1">
      <c r="B377" s="13"/>
      <c r="D377" s="16"/>
      <c r="E377" s="16"/>
      <c r="F377" s="19"/>
      <c r="G377" s="20"/>
      <c r="H377" s="24"/>
      <c r="I377" s="25"/>
    </row>
    <row r="378" ht="15.75" customHeight="1">
      <c r="B378" s="13"/>
      <c r="D378" s="16"/>
      <c r="E378" s="16"/>
      <c r="F378" s="19"/>
      <c r="G378" s="20"/>
      <c r="H378" s="24"/>
      <c r="I378" s="25"/>
    </row>
    <row r="379" ht="15.75" customHeight="1">
      <c r="B379" s="13"/>
      <c r="D379" s="16"/>
      <c r="E379" s="16"/>
      <c r="F379" s="19"/>
      <c r="G379" s="20"/>
      <c r="H379" s="24"/>
      <c r="I379" s="25"/>
    </row>
    <row r="380" ht="15.75" customHeight="1">
      <c r="B380" s="13"/>
      <c r="D380" s="16"/>
      <c r="E380" s="16"/>
      <c r="F380" s="19"/>
      <c r="G380" s="20"/>
      <c r="H380" s="24"/>
      <c r="I380" s="25"/>
    </row>
    <row r="381" ht="15.75" customHeight="1">
      <c r="B381" s="13"/>
      <c r="D381" s="16"/>
      <c r="E381" s="16"/>
      <c r="F381" s="19"/>
      <c r="G381" s="20"/>
      <c r="H381" s="24"/>
      <c r="I381" s="25"/>
    </row>
    <row r="382" ht="15.75" customHeight="1">
      <c r="B382" s="13"/>
      <c r="D382" s="16"/>
      <c r="E382" s="16"/>
      <c r="F382" s="19"/>
      <c r="G382" s="20"/>
      <c r="H382" s="24"/>
      <c r="I382" s="25"/>
    </row>
    <row r="383" ht="15.75" customHeight="1">
      <c r="B383" s="13"/>
      <c r="D383" s="16"/>
      <c r="E383" s="16"/>
      <c r="F383" s="19"/>
      <c r="G383" s="20"/>
      <c r="H383" s="24"/>
      <c r="I383" s="25"/>
    </row>
    <row r="384" ht="15.75" customHeight="1">
      <c r="B384" s="13"/>
      <c r="D384" s="16"/>
      <c r="E384" s="16"/>
      <c r="F384" s="19"/>
      <c r="G384" s="20"/>
      <c r="H384" s="24"/>
      <c r="I384" s="25"/>
    </row>
    <row r="385" ht="15.75" customHeight="1">
      <c r="B385" s="13"/>
      <c r="D385" s="16"/>
      <c r="E385" s="16"/>
      <c r="F385" s="19"/>
      <c r="G385" s="20"/>
      <c r="H385" s="24"/>
      <c r="I385" s="25"/>
    </row>
    <row r="386" ht="15.75" customHeight="1">
      <c r="B386" s="13"/>
      <c r="D386" s="16"/>
      <c r="E386" s="16"/>
      <c r="F386" s="19"/>
      <c r="G386" s="20"/>
      <c r="H386" s="24"/>
      <c r="I386" s="25"/>
    </row>
    <row r="387" ht="15.75" customHeight="1">
      <c r="B387" s="13"/>
      <c r="D387" s="16"/>
      <c r="E387" s="16"/>
      <c r="F387" s="19"/>
      <c r="G387" s="20"/>
      <c r="H387" s="24"/>
      <c r="I387" s="25"/>
    </row>
    <row r="388" ht="15.75" customHeight="1">
      <c r="B388" s="13"/>
      <c r="D388" s="16"/>
      <c r="E388" s="16"/>
      <c r="F388" s="19"/>
      <c r="G388" s="20"/>
      <c r="H388" s="24"/>
      <c r="I388" s="25"/>
    </row>
    <row r="389" ht="15.75" customHeight="1">
      <c r="B389" s="13"/>
      <c r="D389" s="16"/>
      <c r="E389" s="16"/>
      <c r="F389" s="19"/>
      <c r="G389" s="20"/>
      <c r="H389" s="24"/>
      <c r="I389" s="25"/>
    </row>
    <row r="390" ht="15.75" customHeight="1">
      <c r="B390" s="13"/>
      <c r="D390" s="16"/>
      <c r="E390" s="16"/>
      <c r="F390" s="19"/>
      <c r="G390" s="20"/>
      <c r="H390" s="24"/>
      <c r="I390" s="25"/>
    </row>
    <row r="391" ht="15.75" customHeight="1">
      <c r="B391" s="13"/>
      <c r="D391" s="16"/>
      <c r="E391" s="16"/>
      <c r="F391" s="19"/>
      <c r="G391" s="20"/>
      <c r="H391" s="24"/>
      <c r="I391" s="25"/>
    </row>
    <row r="392" ht="15.75" customHeight="1">
      <c r="B392" s="13"/>
      <c r="D392" s="16"/>
      <c r="E392" s="16"/>
      <c r="F392" s="19"/>
      <c r="G392" s="20"/>
      <c r="H392" s="24"/>
      <c r="I392" s="25"/>
    </row>
    <row r="393" ht="15.75" customHeight="1">
      <c r="B393" s="13"/>
      <c r="D393" s="16"/>
      <c r="E393" s="16"/>
      <c r="F393" s="19"/>
      <c r="G393" s="20"/>
      <c r="H393" s="24"/>
      <c r="I393" s="25"/>
    </row>
    <row r="394" ht="15.75" customHeight="1">
      <c r="B394" s="13"/>
      <c r="D394" s="16"/>
      <c r="E394" s="16"/>
      <c r="F394" s="19"/>
      <c r="G394" s="20"/>
      <c r="H394" s="24"/>
      <c r="I394" s="25"/>
    </row>
    <row r="395" ht="15.75" customHeight="1">
      <c r="B395" s="13"/>
      <c r="D395" s="16"/>
      <c r="E395" s="16"/>
      <c r="F395" s="19"/>
      <c r="G395" s="20"/>
      <c r="H395" s="24"/>
      <c r="I395" s="25"/>
    </row>
    <row r="396" ht="15.75" customHeight="1">
      <c r="B396" s="13"/>
      <c r="D396" s="16"/>
      <c r="E396" s="16"/>
      <c r="F396" s="19"/>
      <c r="G396" s="20"/>
      <c r="H396" s="24"/>
      <c r="I396" s="25"/>
    </row>
    <row r="397" ht="15.75" customHeight="1">
      <c r="B397" s="13"/>
      <c r="D397" s="16"/>
      <c r="E397" s="16"/>
      <c r="F397" s="19"/>
      <c r="G397" s="20"/>
      <c r="H397" s="24"/>
      <c r="I397" s="25"/>
    </row>
    <row r="398" ht="15.75" customHeight="1">
      <c r="B398" s="13"/>
      <c r="D398" s="16"/>
      <c r="E398" s="16"/>
      <c r="F398" s="19"/>
      <c r="G398" s="20"/>
      <c r="H398" s="24"/>
      <c r="I398" s="25"/>
    </row>
    <row r="399" ht="15.75" customHeight="1">
      <c r="B399" s="13"/>
      <c r="D399" s="16"/>
      <c r="E399" s="16"/>
      <c r="F399" s="19"/>
      <c r="G399" s="20"/>
      <c r="H399" s="24"/>
      <c r="I399" s="25"/>
    </row>
    <row r="400" ht="15.75" customHeight="1">
      <c r="B400" s="13"/>
      <c r="D400" s="16"/>
      <c r="E400" s="16"/>
      <c r="F400" s="19"/>
      <c r="G400" s="20"/>
      <c r="H400" s="24"/>
      <c r="I400" s="25"/>
    </row>
    <row r="401" ht="15.75" customHeight="1">
      <c r="B401" s="13"/>
      <c r="D401" s="16"/>
      <c r="E401" s="16"/>
      <c r="F401" s="19"/>
      <c r="G401" s="20"/>
      <c r="H401" s="24"/>
      <c r="I401" s="25"/>
    </row>
    <row r="402" ht="15.75" customHeight="1">
      <c r="B402" s="13"/>
      <c r="D402" s="16"/>
      <c r="E402" s="16"/>
      <c r="F402" s="19"/>
      <c r="G402" s="20"/>
      <c r="H402" s="24"/>
      <c r="I402" s="25"/>
    </row>
    <row r="403" ht="15.75" customHeight="1">
      <c r="B403" s="13"/>
      <c r="D403" s="16"/>
      <c r="E403" s="16"/>
      <c r="F403" s="19"/>
      <c r="G403" s="20"/>
      <c r="H403" s="24"/>
      <c r="I403" s="25"/>
    </row>
    <row r="404" ht="15.75" customHeight="1">
      <c r="B404" s="13"/>
      <c r="D404" s="16"/>
      <c r="E404" s="16"/>
      <c r="F404" s="19"/>
      <c r="G404" s="20"/>
      <c r="H404" s="24"/>
      <c r="I404" s="25"/>
    </row>
    <row r="405" ht="15.75" customHeight="1">
      <c r="B405" s="13"/>
      <c r="D405" s="16"/>
      <c r="E405" s="16"/>
      <c r="F405" s="19"/>
      <c r="G405" s="20"/>
      <c r="H405" s="24"/>
      <c r="I405" s="25"/>
    </row>
    <row r="406" ht="15.75" customHeight="1">
      <c r="B406" s="13"/>
      <c r="D406" s="16"/>
      <c r="E406" s="16"/>
      <c r="F406" s="19"/>
      <c r="G406" s="20"/>
      <c r="H406" s="24"/>
      <c r="I406" s="25"/>
    </row>
    <row r="407" ht="15.75" customHeight="1">
      <c r="B407" s="13"/>
      <c r="D407" s="16"/>
      <c r="E407" s="16"/>
      <c r="F407" s="19"/>
      <c r="G407" s="20"/>
      <c r="H407" s="24"/>
      <c r="I407" s="25"/>
    </row>
    <row r="408" ht="15.75" customHeight="1">
      <c r="B408" s="13"/>
      <c r="D408" s="16"/>
      <c r="E408" s="16"/>
      <c r="F408" s="19"/>
      <c r="G408" s="20"/>
      <c r="H408" s="24"/>
      <c r="I408" s="25"/>
    </row>
    <row r="409" ht="15.75" customHeight="1">
      <c r="B409" s="13"/>
      <c r="D409" s="16"/>
      <c r="E409" s="16"/>
      <c r="F409" s="19"/>
      <c r="G409" s="20"/>
      <c r="H409" s="24"/>
      <c r="I409" s="25"/>
    </row>
    <row r="410" ht="15.75" customHeight="1">
      <c r="B410" s="13"/>
      <c r="D410" s="16"/>
      <c r="E410" s="16"/>
      <c r="F410" s="19"/>
      <c r="G410" s="20"/>
      <c r="H410" s="24"/>
      <c r="I410" s="25"/>
    </row>
    <row r="411" ht="15.75" customHeight="1">
      <c r="B411" s="13"/>
      <c r="D411" s="16"/>
      <c r="E411" s="16"/>
      <c r="F411" s="19"/>
      <c r="G411" s="20"/>
      <c r="H411" s="24"/>
      <c r="I411" s="25"/>
    </row>
    <row r="412" ht="15.75" customHeight="1">
      <c r="B412" s="13"/>
      <c r="D412" s="16"/>
      <c r="E412" s="16"/>
      <c r="F412" s="19"/>
      <c r="G412" s="20"/>
      <c r="H412" s="24"/>
      <c r="I412" s="25"/>
    </row>
    <row r="413" ht="15.75" customHeight="1">
      <c r="B413" s="13"/>
      <c r="D413" s="16"/>
      <c r="E413" s="16"/>
      <c r="F413" s="19"/>
      <c r="G413" s="20"/>
      <c r="H413" s="24"/>
      <c r="I413" s="25"/>
    </row>
    <row r="414" ht="15.75" customHeight="1">
      <c r="B414" s="13"/>
      <c r="D414" s="16"/>
      <c r="E414" s="16"/>
      <c r="F414" s="19"/>
      <c r="G414" s="20"/>
      <c r="H414" s="24"/>
      <c r="I414" s="25"/>
    </row>
    <row r="415" ht="15.75" customHeight="1">
      <c r="B415" s="13"/>
      <c r="D415" s="16"/>
      <c r="E415" s="16"/>
      <c r="F415" s="19"/>
      <c r="G415" s="20"/>
      <c r="H415" s="24"/>
      <c r="I415" s="25"/>
    </row>
    <row r="416" ht="15.75" customHeight="1">
      <c r="B416" s="13"/>
      <c r="D416" s="16"/>
      <c r="E416" s="16"/>
      <c r="F416" s="19"/>
      <c r="G416" s="20"/>
      <c r="H416" s="24"/>
      <c r="I416" s="25"/>
    </row>
    <row r="417" ht="15.75" customHeight="1">
      <c r="B417" s="13"/>
      <c r="D417" s="16"/>
      <c r="E417" s="16"/>
      <c r="F417" s="19"/>
      <c r="G417" s="20"/>
      <c r="H417" s="24"/>
      <c r="I417" s="25"/>
    </row>
    <row r="418" ht="15.75" customHeight="1">
      <c r="B418" s="13"/>
      <c r="D418" s="16"/>
      <c r="E418" s="16"/>
      <c r="F418" s="19"/>
      <c r="G418" s="20"/>
      <c r="H418" s="24"/>
      <c r="I418" s="25"/>
    </row>
    <row r="419" ht="15.75" customHeight="1">
      <c r="B419" s="13"/>
      <c r="D419" s="16"/>
      <c r="E419" s="16"/>
      <c r="F419" s="19"/>
      <c r="G419" s="20"/>
      <c r="H419" s="24"/>
      <c r="I419" s="25"/>
    </row>
    <row r="420" ht="15.75" customHeight="1">
      <c r="B420" s="13"/>
      <c r="D420" s="16"/>
      <c r="E420" s="16"/>
      <c r="F420" s="19"/>
      <c r="G420" s="20"/>
      <c r="H420" s="24"/>
      <c r="I420" s="25"/>
    </row>
    <row r="421" ht="15.75" customHeight="1">
      <c r="B421" s="13"/>
      <c r="D421" s="16"/>
      <c r="E421" s="16"/>
      <c r="F421" s="19"/>
      <c r="G421" s="20"/>
      <c r="H421" s="24"/>
      <c r="I421" s="25"/>
    </row>
    <row r="422" ht="15.75" customHeight="1">
      <c r="B422" s="13"/>
      <c r="D422" s="16"/>
      <c r="E422" s="16"/>
      <c r="F422" s="19"/>
      <c r="G422" s="20"/>
      <c r="H422" s="24"/>
      <c r="I422" s="25"/>
    </row>
    <row r="423" ht="15.75" customHeight="1">
      <c r="B423" s="13"/>
      <c r="D423" s="16"/>
      <c r="E423" s="16"/>
      <c r="F423" s="19"/>
      <c r="G423" s="20"/>
      <c r="H423" s="24"/>
      <c r="I423" s="25"/>
    </row>
    <row r="424" ht="15.75" customHeight="1">
      <c r="B424" s="13"/>
      <c r="D424" s="16"/>
      <c r="E424" s="16"/>
      <c r="F424" s="19"/>
      <c r="G424" s="20"/>
      <c r="H424" s="24"/>
      <c r="I424" s="25"/>
    </row>
    <row r="425" ht="15.75" customHeight="1">
      <c r="B425" s="13"/>
      <c r="D425" s="16"/>
      <c r="E425" s="16"/>
      <c r="F425" s="19"/>
      <c r="G425" s="20"/>
      <c r="H425" s="24"/>
      <c r="I425" s="25"/>
    </row>
    <row r="426" ht="15.75" customHeight="1">
      <c r="B426" s="13"/>
      <c r="D426" s="16"/>
      <c r="E426" s="16"/>
      <c r="F426" s="19"/>
      <c r="G426" s="20"/>
      <c r="H426" s="24"/>
      <c r="I426" s="25"/>
    </row>
    <row r="427" ht="15.75" customHeight="1">
      <c r="B427" s="13"/>
      <c r="D427" s="16"/>
      <c r="E427" s="16"/>
      <c r="F427" s="19"/>
      <c r="G427" s="20"/>
      <c r="H427" s="24"/>
      <c r="I427" s="25"/>
    </row>
    <row r="428" ht="15.75" customHeight="1">
      <c r="B428" s="13"/>
      <c r="D428" s="16"/>
      <c r="E428" s="16"/>
      <c r="F428" s="19"/>
      <c r="G428" s="20"/>
      <c r="H428" s="24"/>
      <c r="I428" s="25"/>
    </row>
    <row r="429" ht="15.75" customHeight="1">
      <c r="B429" s="13"/>
      <c r="D429" s="16"/>
      <c r="E429" s="16"/>
      <c r="F429" s="19"/>
      <c r="G429" s="20"/>
      <c r="H429" s="24"/>
      <c r="I429" s="25"/>
    </row>
    <row r="430" ht="15.75" customHeight="1">
      <c r="B430" s="13"/>
      <c r="D430" s="16"/>
      <c r="E430" s="16"/>
      <c r="F430" s="19"/>
      <c r="G430" s="20"/>
      <c r="H430" s="24"/>
      <c r="I430" s="25"/>
    </row>
    <row r="431" ht="15.75" customHeight="1">
      <c r="B431" s="13"/>
      <c r="D431" s="16"/>
      <c r="E431" s="16"/>
      <c r="F431" s="19"/>
      <c r="G431" s="20"/>
      <c r="H431" s="24"/>
      <c r="I431" s="25"/>
    </row>
    <row r="432" ht="15.75" customHeight="1">
      <c r="B432" s="13"/>
      <c r="D432" s="16"/>
      <c r="E432" s="16"/>
      <c r="F432" s="19"/>
      <c r="G432" s="20"/>
      <c r="H432" s="24"/>
      <c r="I432" s="25"/>
    </row>
    <row r="433" ht="15.75" customHeight="1">
      <c r="B433" s="13"/>
      <c r="D433" s="16"/>
      <c r="E433" s="16"/>
      <c r="F433" s="19"/>
      <c r="G433" s="20"/>
      <c r="H433" s="24"/>
      <c r="I433" s="25"/>
    </row>
    <row r="434" ht="15.75" customHeight="1">
      <c r="B434" s="13"/>
      <c r="D434" s="16"/>
      <c r="E434" s="16"/>
      <c r="F434" s="19"/>
      <c r="G434" s="20"/>
      <c r="H434" s="24"/>
      <c r="I434" s="25"/>
    </row>
    <row r="435" ht="15.75" customHeight="1">
      <c r="B435" s="13"/>
      <c r="D435" s="16"/>
      <c r="E435" s="16"/>
      <c r="F435" s="19"/>
      <c r="G435" s="20"/>
      <c r="H435" s="24"/>
      <c r="I435" s="25"/>
    </row>
    <row r="436" ht="15.75" customHeight="1">
      <c r="B436" s="13"/>
      <c r="D436" s="16"/>
      <c r="E436" s="16"/>
      <c r="F436" s="19"/>
      <c r="G436" s="20"/>
      <c r="H436" s="24"/>
      <c r="I436" s="25"/>
    </row>
    <row r="437" ht="15.75" customHeight="1">
      <c r="B437" s="13"/>
      <c r="D437" s="16"/>
      <c r="E437" s="16"/>
      <c r="F437" s="19"/>
      <c r="G437" s="20"/>
      <c r="H437" s="24"/>
      <c r="I437" s="25"/>
    </row>
    <row r="438" ht="15.75" customHeight="1">
      <c r="B438" s="13"/>
      <c r="D438" s="16"/>
      <c r="E438" s="16"/>
      <c r="F438" s="19"/>
      <c r="G438" s="20"/>
      <c r="H438" s="24"/>
      <c r="I438" s="25"/>
    </row>
    <row r="439" ht="15.75" customHeight="1">
      <c r="B439" s="13"/>
      <c r="D439" s="16"/>
      <c r="E439" s="16"/>
      <c r="F439" s="19"/>
      <c r="G439" s="20"/>
      <c r="H439" s="24"/>
      <c r="I439" s="25"/>
    </row>
    <row r="440" ht="15.75" customHeight="1">
      <c r="B440" s="13"/>
      <c r="D440" s="16"/>
      <c r="E440" s="16"/>
      <c r="F440" s="19"/>
      <c r="G440" s="20"/>
      <c r="H440" s="24"/>
      <c r="I440" s="25"/>
    </row>
    <row r="441" ht="15.75" customHeight="1">
      <c r="B441" s="13"/>
      <c r="D441" s="16"/>
      <c r="E441" s="16"/>
      <c r="F441" s="19"/>
      <c r="G441" s="20"/>
      <c r="H441" s="24"/>
      <c r="I441" s="25"/>
    </row>
    <row r="442" ht="15.75" customHeight="1">
      <c r="B442" s="13"/>
      <c r="D442" s="16"/>
      <c r="E442" s="16"/>
      <c r="F442" s="19"/>
      <c r="G442" s="20"/>
      <c r="H442" s="24"/>
      <c r="I442" s="25"/>
    </row>
    <row r="443" ht="15.75" customHeight="1">
      <c r="B443" s="13"/>
      <c r="D443" s="16"/>
      <c r="E443" s="16"/>
      <c r="F443" s="19"/>
      <c r="G443" s="20"/>
      <c r="H443" s="24"/>
      <c r="I443" s="25"/>
    </row>
    <row r="444" ht="15.75" customHeight="1">
      <c r="B444" s="13"/>
      <c r="D444" s="16"/>
      <c r="E444" s="16"/>
      <c r="F444" s="19"/>
      <c r="G444" s="20"/>
      <c r="H444" s="24"/>
      <c r="I444" s="25"/>
    </row>
    <row r="445" ht="15.75" customHeight="1">
      <c r="B445" s="13"/>
      <c r="D445" s="16"/>
      <c r="E445" s="16"/>
      <c r="F445" s="19"/>
      <c r="G445" s="20"/>
      <c r="H445" s="24"/>
      <c r="I445" s="25"/>
    </row>
    <row r="446" ht="15.75" customHeight="1">
      <c r="B446" s="13"/>
      <c r="D446" s="16"/>
      <c r="E446" s="16"/>
      <c r="F446" s="19"/>
      <c r="G446" s="20"/>
      <c r="H446" s="24"/>
      <c r="I446" s="25"/>
    </row>
    <row r="447" ht="15.75" customHeight="1">
      <c r="B447" s="13"/>
      <c r="D447" s="16"/>
      <c r="E447" s="16"/>
      <c r="F447" s="19"/>
      <c r="G447" s="20"/>
      <c r="H447" s="24"/>
      <c r="I447" s="25"/>
    </row>
    <row r="448" ht="15.75" customHeight="1">
      <c r="B448" s="13"/>
      <c r="D448" s="16"/>
      <c r="E448" s="16"/>
      <c r="F448" s="19"/>
      <c r="G448" s="20"/>
      <c r="H448" s="24"/>
      <c r="I448" s="25"/>
    </row>
    <row r="449" ht="15.75" customHeight="1">
      <c r="B449" s="13"/>
      <c r="D449" s="16"/>
      <c r="E449" s="16"/>
      <c r="F449" s="19"/>
      <c r="G449" s="20"/>
      <c r="H449" s="24"/>
      <c r="I449" s="25"/>
    </row>
    <row r="450" ht="15.75" customHeight="1">
      <c r="B450" s="13"/>
      <c r="D450" s="16"/>
      <c r="E450" s="16"/>
      <c r="F450" s="19"/>
      <c r="G450" s="20"/>
      <c r="H450" s="24"/>
      <c r="I450" s="25"/>
    </row>
    <row r="451" ht="15.75" customHeight="1">
      <c r="B451" s="13"/>
      <c r="D451" s="16"/>
      <c r="E451" s="16"/>
      <c r="F451" s="19"/>
      <c r="G451" s="20"/>
      <c r="H451" s="24"/>
      <c r="I451" s="25"/>
    </row>
    <row r="452" ht="15.75" customHeight="1">
      <c r="B452" s="13"/>
      <c r="D452" s="16"/>
      <c r="E452" s="16"/>
      <c r="F452" s="19"/>
      <c r="G452" s="20"/>
      <c r="H452" s="24"/>
      <c r="I452" s="25"/>
    </row>
    <row r="453" ht="15.75" customHeight="1">
      <c r="B453" s="13"/>
      <c r="D453" s="16"/>
      <c r="E453" s="16"/>
      <c r="F453" s="19"/>
      <c r="G453" s="20"/>
      <c r="H453" s="24"/>
      <c r="I453" s="25"/>
    </row>
    <row r="454" ht="15.75" customHeight="1">
      <c r="B454" s="13"/>
      <c r="D454" s="16"/>
      <c r="E454" s="16"/>
      <c r="F454" s="19"/>
      <c r="G454" s="20"/>
      <c r="H454" s="24"/>
      <c r="I454" s="25"/>
    </row>
    <row r="455" ht="15.75" customHeight="1">
      <c r="B455" s="13"/>
      <c r="D455" s="16"/>
      <c r="E455" s="16"/>
      <c r="F455" s="19"/>
      <c r="G455" s="20"/>
      <c r="H455" s="24"/>
      <c r="I455" s="25"/>
    </row>
    <row r="456" ht="15.75" customHeight="1">
      <c r="B456" s="13"/>
      <c r="D456" s="16"/>
      <c r="E456" s="16"/>
      <c r="F456" s="19"/>
      <c r="G456" s="20"/>
      <c r="H456" s="24"/>
      <c r="I456" s="25"/>
    </row>
    <row r="457" ht="15.75" customHeight="1">
      <c r="B457" s="13"/>
      <c r="D457" s="16"/>
      <c r="E457" s="16"/>
      <c r="F457" s="19"/>
      <c r="G457" s="20"/>
      <c r="H457" s="24"/>
      <c r="I457" s="25"/>
    </row>
    <row r="458" ht="15.75" customHeight="1">
      <c r="B458" s="13"/>
      <c r="D458" s="16"/>
      <c r="E458" s="16"/>
      <c r="F458" s="19"/>
      <c r="G458" s="20"/>
      <c r="H458" s="24"/>
      <c r="I458" s="25"/>
    </row>
    <row r="459" ht="15.75" customHeight="1">
      <c r="B459" s="13"/>
      <c r="D459" s="16"/>
      <c r="E459" s="16"/>
      <c r="F459" s="19"/>
      <c r="G459" s="20"/>
      <c r="H459" s="24"/>
      <c r="I459" s="25"/>
    </row>
    <row r="460" ht="15.75" customHeight="1">
      <c r="B460" s="13"/>
      <c r="D460" s="16"/>
      <c r="E460" s="16"/>
      <c r="F460" s="19"/>
      <c r="G460" s="20"/>
      <c r="H460" s="24"/>
      <c r="I460" s="25"/>
    </row>
    <row r="461" ht="15.75" customHeight="1">
      <c r="B461" s="13"/>
      <c r="D461" s="16"/>
      <c r="E461" s="16"/>
      <c r="F461" s="19"/>
      <c r="G461" s="20"/>
      <c r="H461" s="24"/>
      <c r="I461" s="25"/>
    </row>
    <row r="462" ht="15.75" customHeight="1">
      <c r="B462" s="13"/>
      <c r="D462" s="16"/>
      <c r="E462" s="16"/>
      <c r="F462" s="19"/>
      <c r="G462" s="20"/>
      <c r="H462" s="24"/>
      <c r="I462" s="25"/>
    </row>
    <row r="463" ht="15.75" customHeight="1">
      <c r="B463" s="13"/>
      <c r="D463" s="16"/>
      <c r="E463" s="16"/>
      <c r="F463" s="19"/>
      <c r="G463" s="20"/>
      <c r="H463" s="24"/>
      <c r="I463" s="25"/>
    </row>
    <row r="464" ht="15.75" customHeight="1">
      <c r="B464" s="13"/>
      <c r="D464" s="16"/>
      <c r="E464" s="16"/>
      <c r="F464" s="19"/>
      <c r="G464" s="20"/>
      <c r="H464" s="24"/>
      <c r="I464" s="25"/>
    </row>
    <row r="465" ht="15.75" customHeight="1">
      <c r="B465" s="13"/>
      <c r="D465" s="16"/>
      <c r="E465" s="16"/>
      <c r="F465" s="19"/>
      <c r="G465" s="20"/>
      <c r="H465" s="24"/>
      <c r="I465" s="25"/>
    </row>
    <row r="466" ht="15.75" customHeight="1">
      <c r="B466" s="13"/>
      <c r="D466" s="16"/>
      <c r="E466" s="16"/>
      <c r="F466" s="19"/>
      <c r="G466" s="20"/>
      <c r="H466" s="24"/>
      <c r="I466" s="25"/>
    </row>
    <row r="467" ht="15.75" customHeight="1">
      <c r="B467" s="13"/>
      <c r="D467" s="16"/>
      <c r="E467" s="16"/>
      <c r="F467" s="19"/>
      <c r="G467" s="20"/>
      <c r="H467" s="24"/>
      <c r="I467" s="25"/>
    </row>
    <row r="468" ht="15.75" customHeight="1">
      <c r="B468" s="13"/>
      <c r="D468" s="16"/>
      <c r="E468" s="16"/>
      <c r="F468" s="19"/>
      <c r="G468" s="20"/>
      <c r="H468" s="24"/>
      <c r="I468" s="25"/>
    </row>
    <row r="469" ht="15.75" customHeight="1">
      <c r="B469" s="13"/>
      <c r="D469" s="16"/>
      <c r="E469" s="16"/>
      <c r="F469" s="19"/>
      <c r="G469" s="20"/>
      <c r="H469" s="24"/>
      <c r="I469" s="25"/>
    </row>
    <row r="470" ht="15.75" customHeight="1">
      <c r="B470" s="13"/>
      <c r="D470" s="16"/>
      <c r="E470" s="16"/>
      <c r="F470" s="19"/>
      <c r="G470" s="20"/>
      <c r="H470" s="24"/>
      <c r="I470" s="25"/>
    </row>
    <row r="471" ht="15.75" customHeight="1">
      <c r="B471" s="13"/>
      <c r="D471" s="16"/>
      <c r="E471" s="16"/>
      <c r="F471" s="19"/>
      <c r="G471" s="20"/>
      <c r="H471" s="24"/>
      <c r="I471" s="25"/>
    </row>
    <row r="472" ht="15.75" customHeight="1">
      <c r="B472" s="13"/>
      <c r="D472" s="16"/>
      <c r="E472" s="16"/>
      <c r="F472" s="19"/>
      <c r="G472" s="20"/>
      <c r="H472" s="24"/>
      <c r="I472" s="25"/>
    </row>
    <row r="473" ht="15.75" customHeight="1">
      <c r="B473" s="13"/>
      <c r="D473" s="16"/>
      <c r="E473" s="16"/>
      <c r="F473" s="19"/>
      <c r="G473" s="20"/>
      <c r="H473" s="24"/>
      <c r="I473" s="25"/>
    </row>
    <row r="474" ht="15.75" customHeight="1">
      <c r="B474" s="13"/>
      <c r="D474" s="16"/>
      <c r="E474" s="16"/>
      <c r="F474" s="19"/>
      <c r="G474" s="20"/>
      <c r="H474" s="24"/>
      <c r="I474" s="25"/>
    </row>
    <row r="475" ht="15.75" customHeight="1">
      <c r="B475" s="13"/>
      <c r="D475" s="16"/>
      <c r="E475" s="16"/>
      <c r="F475" s="19"/>
      <c r="G475" s="20"/>
      <c r="H475" s="24"/>
      <c r="I475" s="25"/>
    </row>
    <row r="476" ht="15.75" customHeight="1">
      <c r="B476" s="13"/>
      <c r="D476" s="16"/>
      <c r="E476" s="16"/>
      <c r="F476" s="19"/>
      <c r="G476" s="20"/>
      <c r="H476" s="24"/>
      <c r="I476" s="25"/>
    </row>
    <row r="477" ht="15.75" customHeight="1">
      <c r="B477" s="13"/>
      <c r="D477" s="16"/>
      <c r="E477" s="16"/>
      <c r="F477" s="19"/>
      <c r="G477" s="20"/>
      <c r="H477" s="24"/>
      <c r="I477" s="25"/>
    </row>
    <row r="478" ht="15.75" customHeight="1">
      <c r="B478" s="13"/>
      <c r="D478" s="16"/>
      <c r="E478" s="16"/>
      <c r="F478" s="19"/>
      <c r="G478" s="20"/>
      <c r="H478" s="24"/>
      <c r="I478" s="25"/>
    </row>
    <row r="479" ht="15.75" customHeight="1">
      <c r="B479" s="13"/>
      <c r="D479" s="16"/>
      <c r="E479" s="16"/>
      <c r="F479" s="19"/>
      <c r="G479" s="20"/>
      <c r="H479" s="24"/>
      <c r="I479" s="25"/>
    </row>
    <row r="480" ht="15.75" customHeight="1">
      <c r="B480" s="13"/>
      <c r="D480" s="16"/>
      <c r="E480" s="16"/>
      <c r="F480" s="19"/>
      <c r="G480" s="20"/>
      <c r="H480" s="24"/>
      <c r="I480" s="25"/>
    </row>
    <row r="481" ht="15.75" customHeight="1">
      <c r="B481" s="13"/>
      <c r="D481" s="16"/>
      <c r="E481" s="16"/>
      <c r="F481" s="19"/>
      <c r="G481" s="20"/>
      <c r="H481" s="24"/>
      <c r="I481" s="25"/>
    </row>
    <row r="482" ht="15.75" customHeight="1">
      <c r="B482" s="13"/>
      <c r="D482" s="16"/>
      <c r="E482" s="16"/>
      <c r="F482" s="19"/>
      <c r="G482" s="20"/>
      <c r="H482" s="24"/>
      <c r="I482" s="25"/>
    </row>
    <row r="483" ht="15.75" customHeight="1">
      <c r="B483" s="13"/>
      <c r="D483" s="16"/>
      <c r="E483" s="16"/>
      <c r="F483" s="19"/>
      <c r="G483" s="20"/>
      <c r="H483" s="24"/>
      <c r="I483" s="25"/>
    </row>
    <row r="484" ht="15.75" customHeight="1">
      <c r="B484" s="13"/>
      <c r="D484" s="16"/>
      <c r="E484" s="16"/>
      <c r="F484" s="19"/>
      <c r="G484" s="20"/>
      <c r="H484" s="24"/>
      <c r="I484" s="25"/>
    </row>
    <row r="485" ht="15.75" customHeight="1">
      <c r="B485" s="13"/>
      <c r="D485" s="16"/>
      <c r="E485" s="16"/>
      <c r="F485" s="19"/>
      <c r="G485" s="20"/>
      <c r="H485" s="24"/>
      <c r="I485" s="25"/>
    </row>
    <row r="486" ht="15.75" customHeight="1">
      <c r="B486" s="13"/>
      <c r="D486" s="16"/>
      <c r="E486" s="16"/>
      <c r="F486" s="19"/>
      <c r="G486" s="20"/>
      <c r="H486" s="24"/>
      <c r="I486" s="25"/>
    </row>
    <row r="487" ht="15.75" customHeight="1">
      <c r="B487" s="13"/>
      <c r="D487" s="16"/>
      <c r="E487" s="16"/>
      <c r="F487" s="19"/>
      <c r="G487" s="20"/>
      <c r="H487" s="24"/>
      <c r="I487" s="25"/>
    </row>
    <row r="488" ht="15.75" customHeight="1">
      <c r="B488" s="13"/>
      <c r="D488" s="16"/>
      <c r="E488" s="16"/>
      <c r="F488" s="19"/>
      <c r="G488" s="20"/>
      <c r="H488" s="24"/>
      <c r="I488" s="25"/>
    </row>
    <row r="489" ht="15.75" customHeight="1">
      <c r="B489" s="13"/>
      <c r="D489" s="16"/>
      <c r="E489" s="16"/>
      <c r="F489" s="19"/>
      <c r="G489" s="20"/>
      <c r="H489" s="24"/>
      <c r="I489" s="25"/>
    </row>
    <row r="490" ht="15.75" customHeight="1">
      <c r="B490" s="13"/>
      <c r="D490" s="16"/>
      <c r="E490" s="16"/>
      <c r="F490" s="19"/>
      <c r="G490" s="20"/>
      <c r="H490" s="24"/>
      <c r="I490" s="25"/>
    </row>
    <row r="491" ht="15.75" customHeight="1">
      <c r="B491" s="13"/>
      <c r="D491" s="16"/>
      <c r="E491" s="16"/>
      <c r="F491" s="19"/>
      <c r="G491" s="20"/>
      <c r="H491" s="24"/>
      <c r="I491" s="25"/>
    </row>
    <row r="492" ht="15.75" customHeight="1">
      <c r="B492" s="13"/>
      <c r="D492" s="16"/>
      <c r="E492" s="16"/>
      <c r="F492" s="19"/>
      <c r="G492" s="20"/>
      <c r="H492" s="24"/>
      <c r="I492" s="25"/>
    </row>
    <row r="493" ht="15.75" customHeight="1">
      <c r="B493" s="13"/>
      <c r="D493" s="16"/>
      <c r="E493" s="16"/>
      <c r="F493" s="19"/>
      <c r="G493" s="20"/>
      <c r="H493" s="24"/>
      <c r="I493" s="25"/>
    </row>
    <row r="494" ht="15.75" customHeight="1">
      <c r="B494" s="13"/>
      <c r="D494" s="16"/>
      <c r="E494" s="16"/>
      <c r="F494" s="19"/>
      <c r="G494" s="20"/>
      <c r="H494" s="24"/>
      <c r="I494" s="25"/>
    </row>
    <row r="495" ht="15.75" customHeight="1">
      <c r="B495" s="13"/>
      <c r="D495" s="16"/>
      <c r="E495" s="16"/>
      <c r="F495" s="19"/>
      <c r="G495" s="20"/>
      <c r="H495" s="24"/>
      <c r="I495" s="25"/>
    </row>
    <row r="496" ht="15.75" customHeight="1">
      <c r="B496" s="13"/>
      <c r="D496" s="16"/>
      <c r="E496" s="16"/>
      <c r="F496" s="19"/>
      <c r="G496" s="20"/>
      <c r="H496" s="24"/>
      <c r="I496" s="25"/>
    </row>
    <row r="497" ht="15.75" customHeight="1">
      <c r="B497" s="13"/>
      <c r="D497" s="16"/>
      <c r="E497" s="16"/>
      <c r="F497" s="19"/>
      <c r="G497" s="20"/>
      <c r="H497" s="24"/>
      <c r="I497" s="25"/>
    </row>
    <row r="498" ht="15.75" customHeight="1">
      <c r="B498" s="13"/>
      <c r="D498" s="16"/>
      <c r="E498" s="16"/>
      <c r="F498" s="19"/>
      <c r="G498" s="20"/>
      <c r="H498" s="24"/>
      <c r="I498" s="25"/>
    </row>
    <row r="499" ht="15.75" customHeight="1">
      <c r="B499" s="13"/>
      <c r="D499" s="16"/>
      <c r="E499" s="16"/>
      <c r="F499" s="19"/>
      <c r="G499" s="20"/>
      <c r="H499" s="24"/>
      <c r="I499" s="25"/>
    </row>
    <row r="500" ht="15.75" customHeight="1">
      <c r="B500" s="13"/>
      <c r="D500" s="16"/>
      <c r="E500" s="16"/>
      <c r="F500" s="19"/>
      <c r="G500" s="20"/>
      <c r="H500" s="24"/>
      <c r="I500" s="25"/>
    </row>
    <row r="501" ht="15.75" customHeight="1">
      <c r="B501" s="13"/>
      <c r="D501" s="16"/>
      <c r="E501" s="16"/>
      <c r="F501" s="19"/>
      <c r="G501" s="20"/>
      <c r="H501" s="24"/>
      <c r="I501" s="25"/>
    </row>
    <row r="502" ht="15.75" customHeight="1">
      <c r="B502" s="13"/>
      <c r="D502" s="16"/>
      <c r="E502" s="16"/>
      <c r="F502" s="19"/>
      <c r="G502" s="20"/>
      <c r="H502" s="24"/>
      <c r="I502" s="25"/>
    </row>
    <row r="503" ht="15.75" customHeight="1">
      <c r="B503" s="13"/>
      <c r="D503" s="16"/>
      <c r="E503" s="16"/>
      <c r="F503" s="19"/>
      <c r="G503" s="20"/>
      <c r="H503" s="24"/>
      <c r="I503" s="25"/>
    </row>
    <row r="504" ht="15.75" customHeight="1">
      <c r="B504" s="13"/>
      <c r="D504" s="16"/>
      <c r="E504" s="16"/>
      <c r="F504" s="19"/>
      <c r="G504" s="20"/>
      <c r="H504" s="24"/>
      <c r="I504" s="25"/>
    </row>
    <row r="505" ht="15.75" customHeight="1">
      <c r="B505" s="13"/>
      <c r="D505" s="16"/>
      <c r="E505" s="16"/>
      <c r="F505" s="19"/>
      <c r="G505" s="20"/>
      <c r="H505" s="24"/>
      <c r="I505" s="25"/>
    </row>
    <row r="506" ht="15.75" customHeight="1">
      <c r="B506" s="13"/>
      <c r="D506" s="16"/>
      <c r="E506" s="16"/>
      <c r="F506" s="19"/>
      <c r="G506" s="20"/>
      <c r="H506" s="24"/>
      <c r="I506" s="25"/>
    </row>
    <row r="507" ht="15.75" customHeight="1">
      <c r="B507" s="13"/>
      <c r="D507" s="16"/>
      <c r="E507" s="16"/>
      <c r="F507" s="19"/>
      <c r="G507" s="20"/>
      <c r="H507" s="24"/>
      <c r="I507" s="25"/>
    </row>
    <row r="508" ht="15.75" customHeight="1">
      <c r="B508" s="13"/>
      <c r="D508" s="16"/>
      <c r="E508" s="16"/>
      <c r="F508" s="19"/>
      <c r="G508" s="20"/>
      <c r="H508" s="24"/>
      <c r="I508" s="25"/>
    </row>
    <row r="509" ht="15.75" customHeight="1">
      <c r="B509" s="13"/>
      <c r="D509" s="16"/>
      <c r="E509" s="16"/>
      <c r="F509" s="19"/>
      <c r="G509" s="20"/>
      <c r="H509" s="24"/>
      <c r="I509" s="25"/>
    </row>
    <row r="510" ht="15.75" customHeight="1">
      <c r="B510" s="13"/>
      <c r="D510" s="16"/>
      <c r="E510" s="16"/>
      <c r="F510" s="19"/>
      <c r="G510" s="20"/>
      <c r="H510" s="24"/>
      <c r="I510" s="25"/>
    </row>
    <row r="511" ht="15.75" customHeight="1">
      <c r="B511" s="13"/>
      <c r="D511" s="16"/>
      <c r="E511" s="16"/>
      <c r="F511" s="19"/>
      <c r="G511" s="20"/>
      <c r="H511" s="24"/>
      <c r="I511" s="25"/>
    </row>
    <row r="512" ht="15.75" customHeight="1">
      <c r="B512" s="13"/>
      <c r="D512" s="16"/>
      <c r="E512" s="16"/>
      <c r="F512" s="19"/>
      <c r="G512" s="20"/>
      <c r="H512" s="24"/>
      <c r="I512" s="25"/>
    </row>
    <row r="513" ht="15.75" customHeight="1">
      <c r="B513" s="13"/>
      <c r="D513" s="16"/>
      <c r="E513" s="16"/>
      <c r="F513" s="19"/>
      <c r="G513" s="20"/>
      <c r="H513" s="24"/>
      <c r="I513" s="25"/>
    </row>
    <row r="514" ht="15.75" customHeight="1">
      <c r="B514" s="13"/>
      <c r="D514" s="16"/>
      <c r="E514" s="16"/>
      <c r="F514" s="19"/>
      <c r="G514" s="20"/>
      <c r="H514" s="24"/>
      <c r="I514" s="25"/>
    </row>
    <row r="515" ht="15.75" customHeight="1">
      <c r="B515" s="13"/>
      <c r="D515" s="16"/>
      <c r="E515" s="16"/>
      <c r="F515" s="19"/>
      <c r="G515" s="20"/>
      <c r="H515" s="24"/>
      <c r="I515" s="25"/>
    </row>
    <row r="516" ht="15.75" customHeight="1">
      <c r="B516" s="13"/>
      <c r="D516" s="16"/>
      <c r="E516" s="16"/>
      <c r="F516" s="19"/>
      <c r="G516" s="20"/>
      <c r="H516" s="24"/>
      <c r="I516" s="25"/>
    </row>
    <row r="517" ht="15.75" customHeight="1">
      <c r="B517" s="13"/>
      <c r="D517" s="16"/>
      <c r="E517" s="16"/>
      <c r="F517" s="19"/>
      <c r="G517" s="20"/>
      <c r="H517" s="24"/>
      <c r="I517" s="25"/>
    </row>
    <row r="518" ht="15.75" customHeight="1">
      <c r="B518" s="13"/>
      <c r="D518" s="16"/>
      <c r="E518" s="16"/>
      <c r="F518" s="19"/>
      <c r="G518" s="20"/>
      <c r="H518" s="24"/>
      <c r="I518" s="25"/>
    </row>
    <row r="519" ht="15.75" customHeight="1">
      <c r="B519" s="13"/>
      <c r="D519" s="16"/>
      <c r="E519" s="16"/>
      <c r="F519" s="19"/>
      <c r="G519" s="20"/>
      <c r="H519" s="24"/>
      <c r="I519" s="25"/>
    </row>
    <row r="520" ht="15.75" customHeight="1">
      <c r="B520" s="13"/>
      <c r="D520" s="16"/>
      <c r="E520" s="16"/>
      <c r="F520" s="19"/>
      <c r="G520" s="20"/>
      <c r="H520" s="24"/>
      <c r="I520" s="25"/>
    </row>
    <row r="521" ht="15.75" customHeight="1">
      <c r="B521" s="13"/>
      <c r="D521" s="16"/>
      <c r="E521" s="16"/>
      <c r="F521" s="19"/>
      <c r="G521" s="20"/>
      <c r="H521" s="24"/>
      <c r="I521" s="25"/>
    </row>
    <row r="522" ht="15.75" customHeight="1">
      <c r="B522" s="13"/>
      <c r="D522" s="16"/>
      <c r="E522" s="16"/>
      <c r="F522" s="19"/>
      <c r="G522" s="20"/>
      <c r="H522" s="24"/>
      <c r="I522" s="25"/>
    </row>
    <row r="523" ht="15.75" customHeight="1">
      <c r="B523" s="13"/>
      <c r="D523" s="16"/>
      <c r="E523" s="16"/>
      <c r="F523" s="19"/>
      <c r="G523" s="20"/>
      <c r="H523" s="24"/>
      <c r="I523" s="25"/>
    </row>
    <row r="524" ht="15.75" customHeight="1">
      <c r="B524" s="13"/>
      <c r="D524" s="16"/>
      <c r="E524" s="16"/>
      <c r="F524" s="19"/>
      <c r="G524" s="20"/>
      <c r="H524" s="24"/>
      <c r="I524" s="25"/>
    </row>
    <row r="525" ht="15.75" customHeight="1">
      <c r="B525" s="13"/>
      <c r="D525" s="16"/>
      <c r="E525" s="16"/>
      <c r="F525" s="19"/>
      <c r="G525" s="20"/>
      <c r="H525" s="24"/>
      <c r="I525" s="25"/>
    </row>
    <row r="526" ht="15.75" customHeight="1">
      <c r="B526" s="13"/>
      <c r="D526" s="16"/>
      <c r="E526" s="16"/>
      <c r="F526" s="19"/>
      <c r="G526" s="20"/>
      <c r="H526" s="24"/>
      <c r="I526" s="25"/>
    </row>
    <row r="527" ht="15.75" customHeight="1">
      <c r="B527" s="13"/>
      <c r="D527" s="16"/>
      <c r="E527" s="16"/>
      <c r="F527" s="19"/>
      <c r="G527" s="20"/>
      <c r="H527" s="24"/>
      <c r="I527" s="25"/>
    </row>
    <row r="528" ht="15.75" customHeight="1">
      <c r="B528" s="13"/>
      <c r="D528" s="16"/>
      <c r="E528" s="16"/>
      <c r="F528" s="19"/>
      <c r="G528" s="20"/>
      <c r="H528" s="24"/>
      <c r="I528" s="25"/>
    </row>
    <row r="529" ht="15.75" customHeight="1">
      <c r="B529" s="13"/>
      <c r="D529" s="16"/>
      <c r="E529" s="16"/>
      <c r="F529" s="19"/>
      <c r="G529" s="20"/>
      <c r="H529" s="24"/>
      <c r="I529" s="25"/>
    </row>
    <row r="530" ht="15.75" customHeight="1">
      <c r="B530" s="13"/>
      <c r="D530" s="16"/>
      <c r="E530" s="16"/>
      <c r="F530" s="19"/>
      <c r="G530" s="20"/>
      <c r="H530" s="24"/>
      <c r="I530" s="25"/>
    </row>
    <row r="531" ht="15.75" customHeight="1">
      <c r="B531" s="13"/>
      <c r="D531" s="16"/>
      <c r="E531" s="16"/>
      <c r="F531" s="19"/>
      <c r="G531" s="20"/>
      <c r="H531" s="24"/>
      <c r="I531" s="25"/>
    </row>
    <row r="532" ht="15.75" customHeight="1">
      <c r="B532" s="13"/>
      <c r="D532" s="16"/>
      <c r="E532" s="16"/>
      <c r="F532" s="19"/>
      <c r="G532" s="20"/>
      <c r="H532" s="24"/>
      <c r="I532" s="25"/>
    </row>
    <row r="533" ht="15.75" customHeight="1">
      <c r="B533" s="13"/>
      <c r="D533" s="16"/>
      <c r="E533" s="16"/>
      <c r="F533" s="19"/>
      <c r="G533" s="20"/>
      <c r="H533" s="24"/>
      <c r="I533" s="25"/>
    </row>
    <row r="534" ht="15.75" customHeight="1">
      <c r="B534" s="13"/>
      <c r="D534" s="16"/>
      <c r="E534" s="16"/>
      <c r="F534" s="19"/>
      <c r="G534" s="20"/>
      <c r="H534" s="24"/>
      <c r="I534" s="25"/>
    </row>
    <row r="535" ht="15.75" customHeight="1">
      <c r="B535" s="13"/>
      <c r="D535" s="16"/>
      <c r="E535" s="16"/>
      <c r="F535" s="19"/>
      <c r="G535" s="20"/>
      <c r="H535" s="24"/>
      <c r="I535" s="25"/>
    </row>
    <row r="536" ht="15.75" customHeight="1">
      <c r="B536" s="13"/>
      <c r="D536" s="16"/>
      <c r="E536" s="16"/>
      <c r="F536" s="19"/>
      <c r="G536" s="20"/>
      <c r="H536" s="24"/>
      <c r="I536" s="25"/>
    </row>
    <row r="537" ht="15.75" customHeight="1">
      <c r="B537" s="13"/>
      <c r="D537" s="16"/>
      <c r="E537" s="16"/>
      <c r="F537" s="19"/>
      <c r="G537" s="20"/>
      <c r="H537" s="24"/>
      <c r="I537" s="25"/>
    </row>
    <row r="538" ht="15.75" customHeight="1">
      <c r="B538" s="13"/>
      <c r="D538" s="16"/>
      <c r="E538" s="16"/>
      <c r="F538" s="19"/>
      <c r="G538" s="20"/>
      <c r="H538" s="24"/>
      <c r="I538" s="25"/>
    </row>
    <row r="539" ht="15.75" customHeight="1">
      <c r="B539" s="13"/>
      <c r="D539" s="16"/>
      <c r="E539" s="16"/>
      <c r="F539" s="19"/>
      <c r="G539" s="20"/>
      <c r="H539" s="24"/>
      <c r="I539" s="25"/>
    </row>
    <row r="540" ht="15.75" customHeight="1">
      <c r="B540" s="13"/>
      <c r="D540" s="16"/>
      <c r="E540" s="16"/>
      <c r="F540" s="19"/>
      <c r="G540" s="20"/>
      <c r="H540" s="24"/>
      <c r="I540" s="25"/>
    </row>
    <row r="541" ht="15.75" customHeight="1">
      <c r="B541" s="13"/>
      <c r="D541" s="16"/>
      <c r="E541" s="16"/>
      <c r="F541" s="19"/>
      <c r="G541" s="20"/>
      <c r="H541" s="24"/>
      <c r="I541" s="25"/>
    </row>
    <row r="542" ht="15.75" customHeight="1">
      <c r="B542" s="13"/>
      <c r="D542" s="16"/>
      <c r="E542" s="16"/>
      <c r="F542" s="19"/>
      <c r="G542" s="20"/>
      <c r="H542" s="24"/>
      <c r="I542" s="25"/>
    </row>
    <row r="543" ht="15.75" customHeight="1">
      <c r="B543" s="13"/>
      <c r="D543" s="16"/>
      <c r="E543" s="16"/>
      <c r="F543" s="19"/>
      <c r="G543" s="20"/>
      <c r="H543" s="24"/>
      <c r="I543" s="25"/>
    </row>
    <row r="544" ht="15.75" customHeight="1">
      <c r="B544" s="13"/>
      <c r="D544" s="16"/>
      <c r="E544" s="16"/>
      <c r="F544" s="19"/>
      <c r="G544" s="20"/>
      <c r="H544" s="24"/>
      <c r="I544" s="25"/>
    </row>
    <row r="545" ht="15.75" customHeight="1">
      <c r="B545" s="13"/>
      <c r="D545" s="16"/>
      <c r="E545" s="16"/>
      <c r="F545" s="19"/>
      <c r="G545" s="20"/>
      <c r="H545" s="24"/>
      <c r="I545" s="25"/>
    </row>
    <row r="546" ht="15.75" customHeight="1">
      <c r="B546" s="13"/>
      <c r="D546" s="16"/>
      <c r="E546" s="16"/>
      <c r="F546" s="19"/>
      <c r="G546" s="20"/>
      <c r="H546" s="24"/>
      <c r="I546" s="25"/>
    </row>
    <row r="547" ht="15.75" customHeight="1">
      <c r="B547" s="13"/>
      <c r="D547" s="16"/>
      <c r="E547" s="16"/>
      <c r="F547" s="19"/>
      <c r="G547" s="20"/>
      <c r="H547" s="24"/>
      <c r="I547" s="25"/>
    </row>
    <row r="548" ht="15.75" customHeight="1">
      <c r="B548" s="13"/>
      <c r="D548" s="16"/>
      <c r="E548" s="16"/>
      <c r="F548" s="19"/>
      <c r="G548" s="20"/>
      <c r="H548" s="24"/>
      <c r="I548" s="25"/>
    </row>
    <row r="549" ht="15.75" customHeight="1">
      <c r="B549" s="13"/>
      <c r="D549" s="16"/>
      <c r="E549" s="16"/>
      <c r="F549" s="19"/>
      <c r="G549" s="20"/>
      <c r="H549" s="24"/>
      <c r="I549" s="25"/>
    </row>
    <row r="550" ht="15.75" customHeight="1">
      <c r="B550" s="13"/>
      <c r="D550" s="16"/>
      <c r="E550" s="16"/>
      <c r="F550" s="19"/>
      <c r="G550" s="20"/>
      <c r="H550" s="24"/>
      <c r="I550" s="25"/>
    </row>
    <row r="551" ht="15.75" customHeight="1">
      <c r="B551" s="13"/>
      <c r="D551" s="16"/>
      <c r="E551" s="16"/>
      <c r="F551" s="19"/>
      <c r="G551" s="20"/>
      <c r="H551" s="24"/>
      <c r="I551" s="25"/>
    </row>
    <row r="552" ht="15.75" customHeight="1">
      <c r="B552" s="13"/>
      <c r="D552" s="16"/>
      <c r="E552" s="16"/>
      <c r="F552" s="19"/>
      <c r="G552" s="20"/>
      <c r="H552" s="24"/>
      <c r="I552" s="25"/>
    </row>
    <row r="553" ht="15.75" customHeight="1">
      <c r="B553" s="13"/>
      <c r="D553" s="16"/>
      <c r="E553" s="16"/>
      <c r="F553" s="19"/>
      <c r="G553" s="20"/>
      <c r="H553" s="24"/>
      <c r="I553" s="25"/>
    </row>
    <row r="554" ht="15.75" customHeight="1">
      <c r="B554" s="13"/>
      <c r="D554" s="16"/>
      <c r="E554" s="16"/>
      <c r="F554" s="19"/>
      <c r="G554" s="20"/>
      <c r="H554" s="24"/>
      <c r="I554" s="25"/>
    </row>
    <row r="555" ht="15.75" customHeight="1">
      <c r="B555" s="13"/>
      <c r="D555" s="16"/>
      <c r="E555" s="16"/>
      <c r="F555" s="19"/>
      <c r="G555" s="20"/>
      <c r="H555" s="24"/>
      <c r="I555" s="25"/>
    </row>
    <row r="556" ht="15.75" customHeight="1">
      <c r="B556" s="13"/>
      <c r="D556" s="16"/>
      <c r="E556" s="16"/>
      <c r="F556" s="19"/>
      <c r="G556" s="20"/>
      <c r="H556" s="24"/>
      <c r="I556" s="25"/>
    </row>
    <row r="557" ht="15.75" customHeight="1">
      <c r="B557" s="13"/>
      <c r="D557" s="16"/>
      <c r="E557" s="16"/>
      <c r="F557" s="19"/>
      <c r="G557" s="20"/>
      <c r="H557" s="24"/>
      <c r="I557" s="25"/>
    </row>
    <row r="558" ht="15.75" customHeight="1">
      <c r="B558" s="13"/>
      <c r="D558" s="16"/>
      <c r="E558" s="16"/>
      <c r="F558" s="19"/>
      <c r="G558" s="20"/>
      <c r="H558" s="24"/>
      <c r="I558" s="25"/>
    </row>
    <row r="559" ht="15.75" customHeight="1">
      <c r="B559" s="13"/>
      <c r="D559" s="16"/>
      <c r="E559" s="16"/>
      <c r="F559" s="19"/>
      <c r="G559" s="20"/>
      <c r="H559" s="24"/>
      <c r="I559" s="25"/>
    </row>
    <row r="560" ht="15.75" customHeight="1">
      <c r="B560" s="13"/>
      <c r="D560" s="16"/>
      <c r="E560" s="16"/>
      <c r="F560" s="19"/>
      <c r="G560" s="20"/>
      <c r="H560" s="24"/>
      <c r="I560" s="25"/>
    </row>
    <row r="561" ht="15.75" customHeight="1">
      <c r="B561" s="13"/>
      <c r="D561" s="16"/>
      <c r="E561" s="16"/>
      <c r="F561" s="19"/>
      <c r="G561" s="20"/>
      <c r="H561" s="24"/>
      <c r="I561" s="25"/>
    </row>
    <row r="562" ht="15.75" customHeight="1">
      <c r="B562" s="13"/>
      <c r="D562" s="16"/>
      <c r="E562" s="16"/>
      <c r="F562" s="19"/>
      <c r="G562" s="20"/>
      <c r="H562" s="24"/>
      <c r="I562" s="25"/>
    </row>
    <row r="563" ht="15.75" customHeight="1">
      <c r="B563" s="13"/>
      <c r="D563" s="16"/>
      <c r="E563" s="16"/>
      <c r="F563" s="19"/>
      <c r="G563" s="20"/>
      <c r="H563" s="24"/>
      <c r="I563" s="25"/>
    </row>
    <row r="564" ht="15.75" customHeight="1">
      <c r="B564" s="13"/>
      <c r="D564" s="16"/>
      <c r="E564" s="16"/>
      <c r="F564" s="19"/>
      <c r="G564" s="20"/>
      <c r="H564" s="24"/>
      <c r="I564" s="25"/>
    </row>
    <row r="565" ht="15.75" customHeight="1">
      <c r="B565" s="13"/>
      <c r="D565" s="16"/>
      <c r="E565" s="16"/>
      <c r="F565" s="19"/>
      <c r="G565" s="20"/>
      <c r="H565" s="24"/>
      <c r="I565" s="25"/>
    </row>
    <row r="566" ht="15.75" customHeight="1">
      <c r="B566" s="13"/>
      <c r="D566" s="16"/>
      <c r="E566" s="16"/>
      <c r="F566" s="19"/>
      <c r="G566" s="20"/>
      <c r="H566" s="24"/>
      <c r="I566" s="25"/>
    </row>
    <row r="567" ht="15.75" customHeight="1">
      <c r="B567" s="13"/>
      <c r="D567" s="16"/>
      <c r="E567" s="16"/>
      <c r="F567" s="19"/>
      <c r="G567" s="20"/>
      <c r="H567" s="24"/>
      <c r="I567" s="25"/>
    </row>
    <row r="568" ht="15.75" customHeight="1">
      <c r="B568" s="13"/>
      <c r="D568" s="16"/>
      <c r="E568" s="16"/>
      <c r="F568" s="19"/>
      <c r="G568" s="20"/>
      <c r="H568" s="24"/>
      <c r="I568" s="25"/>
    </row>
    <row r="569" ht="15.75" customHeight="1">
      <c r="B569" s="13"/>
      <c r="D569" s="16"/>
      <c r="E569" s="16"/>
      <c r="F569" s="19"/>
      <c r="G569" s="20"/>
      <c r="H569" s="24"/>
      <c r="I569" s="25"/>
    </row>
    <row r="570" ht="15.75" customHeight="1">
      <c r="B570" s="13"/>
      <c r="D570" s="16"/>
      <c r="E570" s="16"/>
      <c r="F570" s="19"/>
      <c r="G570" s="20"/>
      <c r="H570" s="24"/>
      <c r="I570" s="25"/>
    </row>
    <row r="571" ht="15.75" customHeight="1">
      <c r="B571" s="13"/>
      <c r="D571" s="16"/>
      <c r="E571" s="16"/>
      <c r="F571" s="19"/>
      <c r="G571" s="20"/>
      <c r="H571" s="24"/>
      <c r="I571" s="25"/>
    </row>
    <row r="572" ht="15.75" customHeight="1">
      <c r="B572" s="13"/>
      <c r="D572" s="16"/>
      <c r="E572" s="16"/>
      <c r="F572" s="19"/>
      <c r="G572" s="20"/>
      <c r="H572" s="24"/>
      <c r="I572" s="25"/>
    </row>
    <row r="573" ht="15.75" customHeight="1">
      <c r="B573" s="13"/>
      <c r="D573" s="16"/>
      <c r="E573" s="16"/>
      <c r="F573" s="19"/>
      <c r="G573" s="20"/>
      <c r="H573" s="24"/>
      <c r="I573" s="25"/>
    </row>
    <row r="574" ht="15.75" customHeight="1">
      <c r="B574" s="13"/>
      <c r="D574" s="16"/>
      <c r="E574" s="16"/>
      <c r="F574" s="19"/>
      <c r="G574" s="20"/>
      <c r="H574" s="24"/>
      <c r="I574" s="25"/>
    </row>
    <row r="575" ht="15.75" customHeight="1">
      <c r="B575" s="13"/>
      <c r="D575" s="16"/>
      <c r="E575" s="16"/>
      <c r="F575" s="19"/>
      <c r="G575" s="20"/>
      <c r="H575" s="24"/>
      <c r="I575" s="25"/>
    </row>
    <row r="576" ht="15.75" customHeight="1">
      <c r="B576" s="13"/>
      <c r="D576" s="16"/>
      <c r="E576" s="16"/>
      <c r="F576" s="19"/>
      <c r="G576" s="20"/>
      <c r="H576" s="24"/>
      <c r="I576" s="25"/>
    </row>
    <row r="577" ht="15.75" customHeight="1">
      <c r="B577" s="13"/>
      <c r="D577" s="16"/>
      <c r="E577" s="16"/>
      <c r="F577" s="19"/>
      <c r="G577" s="20"/>
      <c r="H577" s="24"/>
      <c r="I577" s="25"/>
    </row>
    <row r="578" ht="15.75" customHeight="1">
      <c r="B578" s="13"/>
      <c r="D578" s="16"/>
      <c r="E578" s="16"/>
      <c r="F578" s="19"/>
      <c r="G578" s="20"/>
      <c r="H578" s="24"/>
      <c r="I578" s="25"/>
    </row>
    <row r="579" ht="15.75" customHeight="1">
      <c r="B579" s="13"/>
      <c r="D579" s="16"/>
      <c r="E579" s="16"/>
      <c r="F579" s="19"/>
      <c r="G579" s="20"/>
      <c r="H579" s="24"/>
      <c r="I579" s="25"/>
    </row>
    <row r="580" ht="15.75" customHeight="1">
      <c r="B580" s="13"/>
      <c r="D580" s="16"/>
      <c r="E580" s="16"/>
      <c r="F580" s="19"/>
      <c r="G580" s="20"/>
      <c r="H580" s="24"/>
      <c r="I580" s="25"/>
    </row>
    <row r="581" ht="15.75" customHeight="1">
      <c r="B581" s="13"/>
      <c r="D581" s="16"/>
      <c r="E581" s="16"/>
      <c r="F581" s="19"/>
      <c r="G581" s="20"/>
      <c r="H581" s="24"/>
      <c r="I581" s="25"/>
    </row>
    <row r="582" ht="15.75" customHeight="1">
      <c r="B582" s="13"/>
      <c r="D582" s="16"/>
      <c r="E582" s="16"/>
      <c r="F582" s="19"/>
      <c r="G582" s="20"/>
      <c r="H582" s="24"/>
      <c r="I582" s="25"/>
    </row>
    <row r="583" ht="15.75" customHeight="1">
      <c r="B583" s="13"/>
      <c r="D583" s="16"/>
      <c r="E583" s="16"/>
      <c r="F583" s="19"/>
      <c r="G583" s="20"/>
      <c r="H583" s="24"/>
      <c r="I583" s="25"/>
    </row>
    <row r="584" ht="15.75" customHeight="1">
      <c r="B584" s="13"/>
      <c r="D584" s="16"/>
      <c r="E584" s="16"/>
      <c r="F584" s="19"/>
      <c r="G584" s="20"/>
      <c r="H584" s="24"/>
      <c r="I584" s="25"/>
    </row>
    <row r="585" ht="15.75" customHeight="1">
      <c r="B585" s="13"/>
      <c r="D585" s="16"/>
      <c r="E585" s="16"/>
      <c r="F585" s="19"/>
      <c r="G585" s="20"/>
      <c r="H585" s="24"/>
      <c r="I585" s="25"/>
    </row>
    <row r="586" ht="15.75" customHeight="1">
      <c r="B586" s="13"/>
      <c r="D586" s="16"/>
      <c r="E586" s="16"/>
      <c r="F586" s="19"/>
      <c r="G586" s="20"/>
      <c r="H586" s="24"/>
      <c r="I586" s="25"/>
    </row>
    <row r="587" ht="15.75" customHeight="1">
      <c r="B587" s="13"/>
      <c r="D587" s="16"/>
      <c r="E587" s="16"/>
      <c r="F587" s="19"/>
      <c r="G587" s="20"/>
      <c r="H587" s="24"/>
      <c r="I587" s="25"/>
    </row>
    <row r="588" ht="15.75" customHeight="1">
      <c r="B588" s="13"/>
      <c r="D588" s="16"/>
      <c r="E588" s="16"/>
      <c r="F588" s="19"/>
      <c r="G588" s="20"/>
      <c r="H588" s="24"/>
      <c r="I588" s="25"/>
    </row>
    <row r="589" ht="15.75" customHeight="1">
      <c r="B589" s="13"/>
      <c r="D589" s="16"/>
      <c r="E589" s="16"/>
      <c r="F589" s="19"/>
      <c r="G589" s="20"/>
      <c r="H589" s="24"/>
      <c r="I589" s="25"/>
    </row>
    <row r="590" ht="15.75" customHeight="1">
      <c r="B590" s="13"/>
      <c r="D590" s="16"/>
      <c r="E590" s="16"/>
      <c r="F590" s="19"/>
      <c r="G590" s="20"/>
      <c r="H590" s="24"/>
      <c r="I590" s="25"/>
    </row>
    <row r="591" ht="15.75" customHeight="1">
      <c r="B591" s="13"/>
      <c r="D591" s="16"/>
      <c r="E591" s="16"/>
      <c r="F591" s="19"/>
      <c r="G591" s="20"/>
      <c r="H591" s="24"/>
      <c r="I591" s="25"/>
    </row>
    <row r="592" ht="15.75" customHeight="1">
      <c r="B592" s="13"/>
      <c r="D592" s="16"/>
      <c r="E592" s="16"/>
      <c r="F592" s="19"/>
      <c r="G592" s="20"/>
      <c r="H592" s="24"/>
      <c r="I592" s="25"/>
    </row>
    <row r="593" ht="15.75" customHeight="1">
      <c r="B593" s="13"/>
      <c r="D593" s="16"/>
      <c r="E593" s="16"/>
      <c r="F593" s="19"/>
      <c r="G593" s="20"/>
      <c r="H593" s="24"/>
      <c r="I593" s="25"/>
    </row>
    <row r="594" ht="15.75" customHeight="1">
      <c r="B594" s="13"/>
      <c r="D594" s="16"/>
      <c r="E594" s="16"/>
      <c r="F594" s="19"/>
      <c r="G594" s="20"/>
      <c r="H594" s="24"/>
      <c r="I594" s="25"/>
    </row>
    <row r="595" ht="15.75" customHeight="1">
      <c r="B595" s="13"/>
      <c r="D595" s="16"/>
      <c r="E595" s="16"/>
      <c r="F595" s="19"/>
      <c r="G595" s="20"/>
      <c r="H595" s="24"/>
      <c r="I595" s="25"/>
    </row>
    <row r="596" ht="15.75" customHeight="1">
      <c r="B596" s="13"/>
      <c r="D596" s="16"/>
      <c r="E596" s="16"/>
      <c r="F596" s="19"/>
      <c r="G596" s="20"/>
      <c r="H596" s="24"/>
      <c r="I596" s="25"/>
    </row>
    <row r="597" ht="15.75" customHeight="1">
      <c r="B597" s="13"/>
      <c r="D597" s="16"/>
      <c r="E597" s="16"/>
      <c r="F597" s="19"/>
      <c r="G597" s="20"/>
      <c r="H597" s="24"/>
      <c r="I597" s="25"/>
    </row>
    <row r="598" ht="15.75" customHeight="1">
      <c r="B598" s="13"/>
      <c r="D598" s="16"/>
      <c r="E598" s="16"/>
      <c r="F598" s="19"/>
      <c r="G598" s="20"/>
      <c r="H598" s="24"/>
      <c r="I598" s="25"/>
    </row>
    <row r="599" ht="15.75" customHeight="1">
      <c r="B599" s="13"/>
      <c r="D599" s="16"/>
      <c r="E599" s="16"/>
      <c r="F599" s="19"/>
      <c r="G599" s="20"/>
      <c r="H599" s="24"/>
      <c r="I599" s="25"/>
    </row>
    <row r="600" ht="15.75" customHeight="1">
      <c r="B600" s="13"/>
      <c r="D600" s="16"/>
      <c r="E600" s="16"/>
      <c r="F600" s="19"/>
      <c r="G600" s="20"/>
      <c r="H600" s="24"/>
      <c r="I600" s="25"/>
    </row>
    <row r="601" ht="15.75" customHeight="1">
      <c r="B601" s="13"/>
      <c r="D601" s="16"/>
      <c r="E601" s="16"/>
      <c r="F601" s="19"/>
      <c r="G601" s="20"/>
      <c r="H601" s="24"/>
      <c r="I601" s="25"/>
    </row>
    <row r="602" ht="15.75" customHeight="1">
      <c r="B602" s="13"/>
      <c r="D602" s="16"/>
      <c r="E602" s="16"/>
      <c r="F602" s="19"/>
      <c r="G602" s="20"/>
      <c r="H602" s="24"/>
      <c r="I602" s="25"/>
    </row>
    <row r="603" ht="15.75" customHeight="1">
      <c r="B603" s="13"/>
      <c r="D603" s="16"/>
      <c r="E603" s="16"/>
      <c r="F603" s="19"/>
      <c r="G603" s="20"/>
      <c r="H603" s="24"/>
      <c r="I603" s="25"/>
    </row>
    <row r="604" ht="15.75" customHeight="1">
      <c r="B604" s="13"/>
      <c r="D604" s="16"/>
      <c r="E604" s="16"/>
      <c r="F604" s="19"/>
      <c r="G604" s="20"/>
      <c r="H604" s="24"/>
      <c r="I604" s="25"/>
    </row>
    <row r="605" ht="15.75" customHeight="1">
      <c r="B605" s="13"/>
      <c r="D605" s="16"/>
      <c r="E605" s="16"/>
      <c r="F605" s="19"/>
      <c r="G605" s="20"/>
      <c r="H605" s="24"/>
      <c r="I605" s="25"/>
    </row>
    <row r="606" ht="15.75" customHeight="1">
      <c r="B606" s="13"/>
      <c r="D606" s="16"/>
      <c r="E606" s="16"/>
      <c r="F606" s="19"/>
      <c r="G606" s="20"/>
      <c r="H606" s="24"/>
      <c r="I606" s="25"/>
    </row>
    <row r="607" ht="15.75" customHeight="1">
      <c r="B607" s="13"/>
      <c r="D607" s="16"/>
      <c r="E607" s="16"/>
      <c r="F607" s="19"/>
      <c r="G607" s="20"/>
      <c r="H607" s="24"/>
      <c r="I607" s="25"/>
    </row>
    <row r="608" ht="15.75" customHeight="1">
      <c r="B608" s="13"/>
      <c r="D608" s="16"/>
      <c r="E608" s="16"/>
      <c r="F608" s="19"/>
      <c r="G608" s="20"/>
      <c r="H608" s="24"/>
      <c r="I608" s="25"/>
    </row>
    <row r="609" ht="15.75" customHeight="1">
      <c r="B609" s="13"/>
      <c r="D609" s="16"/>
      <c r="E609" s="16"/>
      <c r="F609" s="19"/>
      <c r="G609" s="20"/>
      <c r="H609" s="24"/>
      <c r="I609" s="25"/>
    </row>
    <row r="610" ht="15.75" customHeight="1">
      <c r="B610" s="13"/>
      <c r="D610" s="16"/>
      <c r="E610" s="16"/>
      <c r="F610" s="19"/>
      <c r="G610" s="20"/>
      <c r="H610" s="24"/>
      <c r="I610" s="25"/>
    </row>
    <row r="611" ht="15.75" customHeight="1">
      <c r="B611" s="13"/>
      <c r="D611" s="16"/>
      <c r="E611" s="16"/>
      <c r="F611" s="19"/>
      <c r="G611" s="20"/>
      <c r="H611" s="24"/>
      <c r="I611" s="25"/>
    </row>
    <row r="612" ht="15.75" customHeight="1">
      <c r="B612" s="13"/>
      <c r="D612" s="16"/>
      <c r="E612" s="16"/>
      <c r="F612" s="19"/>
      <c r="G612" s="20"/>
      <c r="H612" s="24"/>
      <c r="I612" s="25"/>
    </row>
    <row r="613" ht="15.75" customHeight="1">
      <c r="B613" s="13"/>
      <c r="D613" s="16"/>
      <c r="E613" s="16"/>
      <c r="F613" s="19"/>
      <c r="G613" s="20"/>
      <c r="H613" s="24"/>
      <c r="I613" s="25"/>
    </row>
    <row r="614" ht="15.75" customHeight="1">
      <c r="B614" s="13"/>
      <c r="D614" s="16"/>
      <c r="E614" s="16"/>
      <c r="F614" s="19"/>
      <c r="G614" s="20"/>
      <c r="H614" s="24"/>
      <c r="I614" s="25"/>
    </row>
    <row r="615" ht="15.75" customHeight="1">
      <c r="B615" s="13"/>
      <c r="D615" s="16"/>
      <c r="E615" s="16"/>
      <c r="F615" s="19"/>
      <c r="G615" s="20"/>
      <c r="H615" s="24"/>
      <c r="I615" s="25"/>
    </row>
    <row r="616" ht="15.75" customHeight="1">
      <c r="B616" s="13"/>
      <c r="D616" s="16"/>
      <c r="E616" s="16"/>
      <c r="F616" s="19"/>
      <c r="G616" s="20"/>
      <c r="H616" s="24"/>
      <c r="I616" s="25"/>
    </row>
    <row r="617" ht="15.75" customHeight="1">
      <c r="B617" s="13"/>
      <c r="D617" s="16"/>
      <c r="E617" s="16"/>
      <c r="F617" s="19"/>
      <c r="G617" s="20"/>
      <c r="H617" s="24"/>
      <c r="I617" s="25"/>
    </row>
    <row r="618" ht="15.75" customHeight="1">
      <c r="B618" s="13"/>
      <c r="D618" s="16"/>
      <c r="E618" s="16"/>
      <c r="F618" s="19"/>
      <c r="G618" s="20"/>
      <c r="H618" s="24"/>
      <c r="I618" s="25"/>
    </row>
    <row r="619" ht="15.75" customHeight="1">
      <c r="B619" s="13"/>
      <c r="D619" s="16"/>
      <c r="E619" s="16"/>
      <c r="F619" s="19"/>
      <c r="G619" s="20"/>
      <c r="H619" s="24"/>
      <c r="I619" s="25"/>
    </row>
    <row r="620" ht="15.75" customHeight="1">
      <c r="B620" s="13"/>
      <c r="D620" s="16"/>
      <c r="E620" s="16"/>
      <c r="F620" s="19"/>
      <c r="G620" s="20"/>
      <c r="H620" s="24"/>
      <c r="I620" s="25"/>
    </row>
    <row r="621" ht="15.75" customHeight="1">
      <c r="B621" s="13"/>
      <c r="D621" s="16"/>
      <c r="E621" s="16"/>
      <c r="F621" s="19"/>
      <c r="G621" s="20"/>
      <c r="H621" s="24"/>
      <c r="I621" s="25"/>
    </row>
    <row r="622" ht="15.75" customHeight="1">
      <c r="B622" s="13"/>
      <c r="D622" s="16"/>
      <c r="E622" s="16"/>
      <c r="F622" s="19"/>
      <c r="G622" s="20"/>
      <c r="H622" s="24"/>
      <c r="I622" s="25"/>
    </row>
    <row r="623" ht="15.75" customHeight="1">
      <c r="B623" s="13"/>
      <c r="D623" s="16"/>
      <c r="E623" s="16"/>
      <c r="F623" s="19"/>
      <c r="G623" s="20"/>
      <c r="H623" s="24"/>
      <c r="I623" s="25"/>
    </row>
    <row r="624" ht="15.75" customHeight="1">
      <c r="B624" s="13"/>
      <c r="D624" s="16"/>
      <c r="E624" s="16"/>
      <c r="F624" s="19"/>
      <c r="G624" s="20"/>
      <c r="H624" s="24"/>
      <c r="I624" s="25"/>
    </row>
    <row r="625" ht="15.75" customHeight="1">
      <c r="B625" s="13"/>
      <c r="D625" s="16"/>
      <c r="E625" s="16"/>
      <c r="F625" s="19"/>
      <c r="G625" s="20"/>
      <c r="H625" s="24"/>
      <c r="I625" s="25"/>
    </row>
    <row r="626" ht="15.75" customHeight="1">
      <c r="B626" s="13"/>
      <c r="D626" s="16"/>
      <c r="E626" s="16"/>
      <c r="F626" s="19"/>
      <c r="G626" s="20"/>
      <c r="H626" s="24"/>
      <c r="I626" s="25"/>
    </row>
    <row r="627" ht="15.75" customHeight="1">
      <c r="B627" s="13"/>
      <c r="D627" s="16"/>
      <c r="E627" s="16"/>
      <c r="F627" s="19"/>
      <c r="G627" s="20"/>
      <c r="H627" s="24"/>
      <c r="I627" s="25"/>
    </row>
    <row r="628" ht="15.75" customHeight="1">
      <c r="B628" s="13"/>
      <c r="D628" s="16"/>
      <c r="E628" s="16"/>
      <c r="F628" s="19"/>
      <c r="G628" s="20"/>
      <c r="H628" s="24"/>
      <c r="I628" s="25"/>
    </row>
    <row r="629" ht="15.75" customHeight="1">
      <c r="B629" s="13"/>
      <c r="D629" s="16"/>
      <c r="E629" s="16"/>
      <c r="F629" s="19"/>
      <c r="G629" s="20"/>
      <c r="H629" s="24"/>
      <c r="I629" s="25"/>
    </row>
    <row r="630" ht="15.75" customHeight="1">
      <c r="B630" s="13"/>
      <c r="D630" s="16"/>
      <c r="E630" s="16"/>
      <c r="F630" s="19"/>
      <c r="G630" s="20"/>
      <c r="H630" s="24"/>
      <c r="I630" s="25"/>
    </row>
    <row r="631" ht="15.75" customHeight="1">
      <c r="B631" s="13"/>
      <c r="D631" s="16"/>
      <c r="E631" s="16"/>
      <c r="F631" s="19"/>
      <c r="G631" s="20"/>
      <c r="H631" s="24"/>
      <c r="I631" s="25"/>
    </row>
    <row r="632" ht="15.75" customHeight="1">
      <c r="B632" s="13"/>
      <c r="D632" s="16"/>
      <c r="E632" s="16"/>
      <c r="F632" s="19"/>
      <c r="G632" s="20"/>
      <c r="H632" s="24"/>
      <c r="I632" s="25"/>
    </row>
    <row r="633" ht="15.75" customHeight="1">
      <c r="B633" s="13"/>
      <c r="D633" s="16"/>
      <c r="E633" s="16"/>
      <c r="F633" s="19"/>
      <c r="G633" s="20"/>
      <c r="H633" s="24"/>
      <c r="I633" s="25"/>
    </row>
    <row r="634" ht="15.75" customHeight="1">
      <c r="B634" s="13"/>
      <c r="D634" s="16"/>
      <c r="E634" s="16"/>
      <c r="F634" s="19"/>
      <c r="G634" s="20"/>
      <c r="H634" s="24"/>
      <c r="I634" s="25"/>
    </row>
    <row r="635" ht="15.75" customHeight="1">
      <c r="B635" s="13"/>
      <c r="D635" s="16"/>
      <c r="E635" s="16"/>
      <c r="F635" s="19"/>
      <c r="G635" s="20"/>
      <c r="H635" s="24"/>
      <c r="I635" s="25"/>
    </row>
    <row r="636" ht="15.75" customHeight="1">
      <c r="B636" s="13"/>
      <c r="D636" s="16"/>
      <c r="E636" s="16"/>
      <c r="F636" s="19"/>
      <c r="G636" s="20"/>
      <c r="H636" s="24"/>
      <c r="I636" s="25"/>
    </row>
    <row r="637" ht="15.75" customHeight="1">
      <c r="B637" s="13"/>
      <c r="D637" s="16"/>
      <c r="E637" s="16"/>
      <c r="F637" s="19"/>
      <c r="G637" s="20"/>
      <c r="H637" s="24"/>
      <c r="I637" s="25"/>
    </row>
    <row r="638" ht="15.75" customHeight="1">
      <c r="B638" s="13"/>
      <c r="D638" s="16"/>
      <c r="E638" s="16"/>
      <c r="F638" s="19"/>
      <c r="G638" s="20"/>
      <c r="H638" s="24"/>
      <c r="I638" s="25"/>
    </row>
    <row r="639" ht="15.75" customHeight="1">
      <c r="B639" s="13"/>
      <c r="D639" s="16"/>
      <c r="E639" s="16"/>
      <c r="F639" s="19"/>
      <c r="G639" s="20"/>
      <c r="H639" s="24"/>
      <c r="I639" s="25"/>
    </row>
    <row r="640" ht="15.75" customHeight="1">
      <c r="B640" s="13"/>
      <c r="D640" s="16"/>
      <c r="E640" s="16"/>
      <c r="F640" s="19"/>
      <c r="G640" s="20"/>
      <c r="H640" s="24"/>
      <c r="I640" s="25"/>
    </row>
    <row r="641" ht="15.75" customHeight="1">
      <c r="B641" s="13"/>
      <c r="D641" s="16"/>
      <c r="E641" s="16"/>
      <c r="F641" s="19"/>
      <c r="G641" s="20"/>
      <c r="H641" s="24"/>
      <c r="I641" s="25"/>
    </row>
    <row r="642" ht="15.75" customHeight="1">
      <c r="B642" s="13"/>
      <c r="D642" s="16"/>
      <c r="E642" s="16"/>
      <c r="F642" s="19"/>
      <c r="G642" s="20"/>
      <c r="H642" s="24"/>
      <c r="I642" s="25"/>
    </row>
    <row r="643" ht="15.75" customHeight="1">
      <c r="B643" s="13"/>
      <c r="D643" s="16"/>
      <c r="E643" s="16"/>
      <c r="F643" s="19"/>
      <c r="G643" s="20"/>
      <c r="H643" s="24"/>
      <c r="I643" s="25"/>
    </row>
    <row r="644" ht="15.75" customHeight="1">
      <c r="B644" s="13"/>
      <c r="D644" s="16"/>
      <c r="E644" s="16"/>
      <c r="F644" s="19"/>
      <c r="G644" s="20"/>
      <c r="H644" s="24"/>
      <c r="I644" s="25"/>
    </row>
    <row r="645" ht="15.75" customHeight="1">
      <c r="B645" s="13"/>
      <c r="D645" s="16"/>
      <c r="E645" s="16"/>
      <c r="F645" s="19"/>
      <c r="G645" s="20"/>
      <c r="H645" s="24"/>
      <c r="I645" s="25"/>
    </row>
    <row r="646" ht="15.75" customHeight="1">
      <c r="B646" s="13"/>
      <c r="D646" s="16"/>
      <c r="E646" s="16"/>
      <c r="F646" s="19"/>
      <c r="G646" s="20"/>
      <c r="H646" s="24"/>
      <c r="I646" s="25"/>
    </row>
    <row r="647" ht="15.75" customHeight="1">
      <c r="B647" s="13"/>
      <c r="D647" s="16"/>
      <c r="E647" s="16"/>
      <c r="F647" s="19"/>
      <c r="G647" s="20"/>
      <c r="H647" s="24"/>
      <c r="I647" s="25"/>
    </row>
    <row r="648" ht="15.75" customHeight="1">
      <c r="B648" s="13"/>
      <c r="D648" s="16"/>
      <c r="E648" s="16"/>
      <c r="F648" s="19"/>
      <c r="G648" s="20"/>
      <c r="H648" s="24"/>
      <c r="I648" s="25"/>
    </row>
    <row r="649" ht="15.75" customHeight="1">
      <c r="B649" s="13"/>
      <c r="D649" s="16"/>
      <c r="E649" s="16"/>
      <c r="F649" s="19"/>
      <c r="G649" s="20"/>
      <c r="H649" s="24"/>
      <c r="I649" s="25"/>
    </row>
    <row r="650" ht="15.75" customHeight="1">
      <c r="B650" s="13"/>
      <c r="D650" s="16"/>
      <c r="E650" s="16"/>
      <c r="F650" s="19"/>
      <c r="G650" s="20"/>
      <c r="H650" s="24"/>
      <c r="I650" s="25"/>
    </row>
    <row r="651" ht="15.75" customHeight="1">
      <c r="B651" s="13"/>
      <c r="D651" s="16"/>
      <c r="E651" s="16"/>
      <c r="F651" s="19"/>
      <c r="G651" s="20"/>
      <c r="H651" s="24"/>
      <c r="I651" s="25"/>
    </row>
    <row r="652" ht="15.75" customHeight="1">
      <c r="B652" s="13"/>
      <c r="D652" s="16"/>
      <c r="E652" s="16"/>
      <c r="F652" s="19"/>
      <c r="G652" s="20"/>
      <c r="H652" s="24"/>
      <c r="I652" s="25"/>
    </row>
    <row r="653" ht="15.75" customHeight="1">
      <c r="B653" s="13"/>
      <c r="D653" s="16"/>
      <c r="E653" s="16"/>
      <c r="F653" s="19"/>
      <c r="G653" s="20"/>
      <c r="H653" s="24"/>
      <c r="I653" s="25"/>
    </row>
    <row r="654" ht="15.75" customHeight="1">
      <c r="B654" s="13"/>
      <c r="D654" s="16"/>
      <c r="E654" s="16"/>
      <c r="F654" s="19"/>
      <c r="G654" s="20"/>
      <c r="H654" s="24"/>
      <c r="I654" s="25"/>
    </row>
    <row r="655" ht="15.75" customHeight="1">
      <c r="B655" s="13"/>
      <c r="D655" s="16"/>
      <c r="E655" s="16"/>
      <c r="F655" s="19"/>
      <c r="G655" s="20"/>
      <c r="H655" s="24"/>
      <c r="I655" s="25"/>
    </row>
    <row r="656" ht="15.75" customHeight="1">
      <c r="B656" s="13"/>
      <c r="D656" s="16"/>
      <c r="E656" s="16"/>
      <c r="F656" s="19"/>
      <c r="G656" s="20"/>
      <c r="H656" s="24"/>
      <c r="I656" s="25"/>
    </row>
    <row r="657" ht="15.75" customHeight="1">
      <c r="B657" s="13"/>
      <c r="D657" s="16"/>
      <c r="E657" s="16"/>
      <c r="F657" s="19"/>
      <c r="G657" s="20"/>
      <c r="H657" s="24"/>
      <c r="I657" s="25"/>
    </row>
    <row r="658" ht="15.75" customHeight="1">
      <c r="B658" s="13"/>
      <c r="D658" s="16"/>
      <c r="E658" s="16"/>
      <c r="F658" s="19"/>
      <c r="G658" s="20"/>
      <c r="H658" s="24"/>
      <c r="I658" s="25"/>
    </row>
    <row r="659" ht="15.75" customHeight="1">
      <c r="B659" s="13"/>
      <c r="D659" s="16"/>
      <c r="E659" s="16"/>
      <c r="F659" s="19"/>
      <c r="G659" s="20"/>
      <c r="H659" s="24"/>
      <c r="I659" s="25"/>
    </row>
    <row r="660" ht="15.75" customHeight="1">
      <c r="B660" s="13"/>
      <c r="D660" s="16"/>
      <c r="E660" s="16"/>
      <c r="F660" s="19"/>
      <c r="G660" s="20"/>
      <c r="H660" s="24"/>
      <c r="I660" s="25"/>
    </row>
    <row r="661" ht="15.75" customHeight="1">
      <c r="B661" s="13"/>
      <c r="D661" s="16"/>
      <c r="E661" s="16"/>
      <c r="F661" s="19"/>
      <c r="G661" s="20"/>
      <c r="H661" s="24"/>
      <c r="I661" s="25"/>
    </row>
    <row r="662" ht="15.75" customHeight="1">
      <c r="B662" s="13"/>
      <c r="D662" s="16"/>
      <c r="E662" s="16"/>
      <c r="F662" s="19"/>
      <c r="G662" s="20"/>
      <c r="H662" s="24"/>
      <c r="I662" s="25"/>
    </row>
    <row r="663" ht="15.75" customHeight="1">
      <c r="B663" s="13"/>
      <c r="D663" s="16"/>
      <c r="E663" s="16"/>
      <c r="F663" s="19"/>
      <c r="G663" s="20"/>
      <c r="H663" s="24"/>
      <c r="I663" s="25"/>
    </row>
    <row r="664" ht="15.75" customHeight="1">
      <c r="B664" s="13"/>
      <c r="D664" s="16"/>
      <c r="E664" s="16"/>
      <c r="F664" s="19"/>
      <c r="G664" s="20"/>
      <c r="H664" s="24"/>
      <c r="I664" s="25"/>
    </row>
    <row r="665" ht="15.75" customHeight="1">
      <c r="B665" s="13"/>
      <c r="D665" s="16"/>
      <c r="E665" s="16"/>
      <c r="F665" s="19"/>
      <c r="G665" s="20"/>
      <c r="H665" s="24"/>
      <c r="I665" s="25"/>
    </row>
    <row r="666" ht="15.75" customHeight="1">
      <c r="B666" s="13"/>
      <c r="D666" s="16"/>
      <c r="E666" s="16"/>
      <c r="F666" s="19"/>
      <c r="G666" s="20"/>
      <c r="H666" s="24"/>
      <c r="I666" s="25"/>
    </row>
    <row r="667" ht="15.75" customHeight="1">
      <c r="B667" s="13"/>
      <c r="D667" s="16"/>
      <c r="E667" s="16"/>
      <c r="F667" s="19"/>
      <c r="G667" s="20"/>
      <c r="H667" s="24"/>
      <c r="I667" s="25"/>
    </row>
    <row r="668" ht="15.75" customHeight="1">
      <c r="B668" s="13"/>
      <c r="D668" s="16"/>
      <c r="E668" s="16"/>
      <c r="F668" s="19"/>
      <c r="G668" s="20"/>
      <c r="H668" s="24"/>
      <c r="I668" s="25"/>
    </row>
    <row r="669" ht="15.75" customHeight="1">
      <c r="B669" s="13"/>
      <c r="D669" s="16"/>
      <c r="E669" s="16"/>
      <c r="F669" s="19"/>
      <c r="G669" s="20"/>
      <c r="H669" s="24"/>
      <c r="I669" s="25"/>
    </row>
    <row r="670" ht="15.75" customHeight="1">
      <c r="B670" s="13"/>
      <c r="D670" s="16"/>
      <c r="E670" s="16"/>
      <c r="F670" s="19"/>
      <c r="G670" s="20"/>
      <c r="H670" s="24"/>
      <c r="I670" s="25"/>
    </row>
    <row r="671" ht="15.75" customHeight="1">
      <c r="B671" s="13"/>
      <c r="D671" s="16"/>
      <c r="E671" s="16"/>
      <c r="F671" s="19"/>
      <c r="G671" s="20"/>
      <c r="H671" s="24"/>
      <c r="I671" s="25"/>
    </row>
    <row r="672" ht="15.75" customHeight="1">
      <c r="B672" s="13"/>
      <c r="D672" s="16"/>
      <c r="E672" s="16"/>
      <c r="F672" s="19"/>
      <c r="G672" s="20"/>
      <c r="H672" s="24"/>
      <c r="I672" s="25"/>
    </row>
    <row r="673" ht="15.75" customHeight="1">
      <c r="B673" s="13"/>
      <c r="D673" s="16"/>
      <c r="E673" s="16"/>
      <c r="F673" s="19"/>
      <c r="G673" s="20"/>
      <c r="H673" s="24"/>
      <c r="I673" s="25"/>
    </row>
    <row r="674" ht="15.75" customHeight="1">
      <c r="B674" s="13"/>
      <c r="D674" s="16"/>
      <c r="E674" s="16"/>
      <c r="F674" s="19"/>
      <c r="G674" s="20"/>
      <c r="H674" s="24"/>
      <c r="I674" s="25"/>
    </row>
    <row r="675" ht="15.75" customHeight="1">
      <c r="B675" s="13"/>
      <c r="D675" s="16"/>
      <c r="E675" s="16"/>
      <c r="F675" s="19"/>
      <c r="G675" s="20"/>
      <c r="H675" s="24"/>
      <c r="I675" s="25"/>
    </row>
    <row r="676" ht="15.75" customHeight="1">
      <c r="B676" s="13"/>
      <c r="D676" s="16"/>
      <c r="E676" s="16"/>
      <c r="F676" s="19"/>
      <c r="G676" s="20"/>
      <c r="H676" s="24"/>
      <c r="I676" s="25"/>
    </row>
    <row r="677" ht="15.75" customHeight="1">
      <c r="B677" s="13"/>
      <c r="D677" s="16"/>
      <c r="E677" s="16"/>
      <c r="F677" s="19"/>
      <c r="G677" s="20"/>
      <c r="H677" s="24"/>
      <c r="I677" s="25"/>
    </row>
    <row r="678" ht="15.75" customHeight="1">
      <c r="B678" s="13"/>
      <c r="D678" s="16"/>
      <c r="E678" s="16"/>
      <c r="F678" s="19"/>
      <c r="G678" s="20"/>
      <c r="H678" s="24"/>
      <c r="I678" s="25"/>
    </row>
    <row r="679" ht="15.75" customHeight="1">
      <c r="B679" s="13"/>
      <c r="D679" s="16"/>
      <c r="E679" s="16"/>
      <c r="F679" s="19"/>
      <c r="G679" s="20"/>
      <c r="H679" s="24"/>
      <c r="I679" s="25"/>
    </row>
    <row r="680" ht="15.75" customHeight="1">
      <c r="B680" s="13"/>
      <c r="D680" s="16"/>
      <c r="E680" s="16"/>
      <c r="F680" s="19"/>
      <c r="G680" s="20"/>
      <c r="H680" s="24"/>
      <c r="I680" s="25"/>
    </row>
    <row r="681" ht="15.75" customHeight="1">
      <c r="B681" s="13"/>
      <c r="D681" s="16"/>
      <c r="E681" s="16"/>
      <c r="F681" s="19"/>
      <c r="G681" s="20"/>
      <c r="H681" s="24"/>
      <c r="I681" s="25"/>
    </row>
    <row r="682" ht="15.75" customHeight="1">
      <c r="B682" s="13"/>
      <c r="D682" s="16"/>
      <c r="E682" s="16"/>
      <c r="F682" s="19"/>
      <c r="G682" s="20"/>
      <c r="H682" s="24"/>
      <c r="I682" s="25"/>
    </row>
    <row r="683" ht="15.75" customHeight="1">
      <c r="B683" s="13"/>
      <c r="D683" s="16"/>
      <c r="E683" s="16"/>
      <c r="F683" s="19"/>
      <c r="G683" s="20"/>
      <c r="H683" s="24"/>
      <c r="I683" s="25"/>
    </row>
    <row r="684" ht="15.75" customHeight="1">
      <c r="B684" s="13"/>
      <c r="D684" s="16"/>
      <c r="E684" s="16"/>
      <c r="F684" s="19"/>
      <c r="G684" s="20"/>
      <c r="H684" s="24"/>
      <c r="I684" s="25"/>
    </row>
    <row r="685" ht="15.75" customHeight="1">
      <c r="B685" s="13"/>
      <c r="D685" s="16"/>
      <c r="E685" s="16"/>
      <c r="F685" s="19"/>
      <c r="G685" s="20"/>
      <c r="H685" s="24"/>
      <c r="I685" s="25"/>
    </row>
    <row r="686" ht="15.75" customHeight="1">
      <c r="B686" s="13"/>
      <c r="D686" s="16"/>
      <c r="E686" s="16"/>
      <c r="F686" s="19"/>
      <c r="G686" s="20"/>
      <c r="H686" s="24"/>
      <c r="I686" s="25"/>
    </row>
    <row r="687" ht="15.75" customHeight="1">
      <c r="B687" s="13"/>
      <c r="D687" s="16"/>
      <c r="E687" s="16"/>
      <c r="F687" s="19"/>
      <c r="G687" s="20"/>
      <c r="H687" s="24"/>
      <c r="I687" s="25"/>
    </row>
    <row r="688" ht="15.75" customHeight="1">
      <c r="B688" s="13"/>
      <c r="D688" s="16"/>
      <c r="E688" s="16"/>
      <c r="F688" s="19"/>
      <c r="G688" s="20"/>
      <c r="H688" s="24"/>
      <c r="I688" s="25"/>
    </row>
    <row r="689" ht="15.75" customHeight="1">
      <c r="B689" s="13"/>
      <c r="D689" s="16"/>
      <c r="E689" s="16"/>
      <c r="F689" s="19"/>
      <c r="G689" s="20"/>
      <c r="H689" s="24"/>
      <c r="I689" s="25"/>
    </row>
    <row r="690" ht="15.75" customHeight="1">
      <c r="B690" s="13"/>
      <c r="D690" s="16"/>
      <c r="E690" s="16"/>
      <c r="F690" s="19"/>
      <c r="G690" s="20"/>
      <c r="H690" s="24"/>
      <c r="I690" s="25"/>
    </row>
    <row r="691" ht="15.75" customHeight="1">
      <c r="B691" s="13"/>
      <c r="D691" s="16"/>
      <c r="E691" s="16"/>
      <c r="F691" s="19"/>
      <c r="G691" s="20"/>
      <c r="H691" s="24"/>
      <c r="I691" s="25"/>
    </row>
    <row r="692" ht="15.75" customHeight="1">
      <c r="B692" s="13"/>
      <c r="D692" s="16"/>
      <c r="E692" s="16"/>
      <c r="F692" s="19"/>
      <c r="G692" s="20"/>
      <c r="H692" s="24"/>
      <c r="I692" s="25"/>
    </row>
    <row r="693" ht="15.75" customHeight="1">
      <c r="B693" s="13"/>
      <c r="D693" s="16"/>
      <c r="E693" s="16"/>
      <c r="F693" s="19"/>
      <c r="G693" s="20"/>
      <c r="H693" s="24"/>
      <c r="I693" s="25"/>
    </row>
    <row r="694" ht="15.75" customHeight="1">
      <c r="B694" s="13"/>
      <c r="D694" s="16"/>
      <c r="E694" s="16"/>
      <c r="F694" s="19"/>
      <c r="G694" s="20"/>
      <c r="H694" s="24"/>
      <c r="I694" s="25"/>
    </row>
    <row r="695" ht="15.75" customHeight="1">
      <c r="B695" s="13"/>
      <c r="D695" s="16"/>
      <c r="E695" s="16"/>
      <c r="F695" s="19"/>
      <c r="G695" s="20"/>
      <c r="H695" s="24"/>
      <c r="I695" s="25"/>
    </row>
    <row r="696" ht="15.75" customHeight="1">
      <c r="B696" s="13"/>
      <c r="D696" s="16"/>
      <c r="E696" s="16"/>
      <c r="F696" s="19"/>
      <c r="G696" s="20"/>
      <c r="H696" s="24"/>
      <c r="I696" s="25"/>
    </row>
    <row r="697" ht="15.75" customHeight="1">
      <c r="B697" s="13"/>
      <c r="D697" s="16"/>
      <c r="E697" s="16"/>
      <c r="F697" s="19"/>
      <c r="G697" s="20"/>
      <c r="H697" s="24"/>
      <c r="I697" s="25"/>
    </row>
    <row r="698" ht="15.75" customHeight="1">
      <c r="B698" s="13"/>
      <c r="D698" s="16"/>
      <c r="E698" s="16"/>
      <c r="F698" s="19"/>
      <c r="G698" s="20"/>
      <c r="H698" s="24"/>
      <c r="I698" s="25"/>
    </row>
    <row r="699" ht="15.75" customHeight="1">
      <c r="B699" s="13"/>
      <c r="D699" s="16"/>
      <c r="E699" s="16"/>
      <c r="F699" s="19"/>
      <c r="G699" s="20"/>
      <c r="H699" s="24"/>
      <c r="I699" s="25"/>
    </row>
    <row r="700" ht="15.75" customHeight="1">
      <c r="B700" s="13"/>
      <c r="D700" s="16"/>
      <c r="E700" s="16"/>
      <c r="F700" s="19"/>
      <c r="G700" s="20"/>
      <c r="H700" s="24"/>
      <c r="I700" s="25"/>
    </row>
    <row r="701" ht="15.75" customHeight="1">
      <c r="B701" s="13"/>
      <c r="D701" s="16"/>
      <c r="E701" s="16"/>
      <c r="F701" s="19"/>
      <c r="G701" s="20"/>
      <c r="H701" s="24"/>
      <c r="I701" s="25"/>
    </row>
    <row r="702" ht="15.75" customHeight="1">
      <c r="B702" s="13"/>
      <c r="D702" s="16"/>
      <c r="E702" s="16"/>
      <c r="F702" s="19"/>
      <c r="G702" s="20"/>
      <c r="H702" s="24"/>
      <c r="I702" s="25"/>
    </row>
    <row r="703" ht="15.75" customHeight="1">
      <c r="B703" s="13"/>
      <c r="D703" s="16"/>
      <c r="E703" s="16"/>
      <c r="F703" s="19"/>
      <c r="G703" s="20"/>
      <c r="H703" s="24"/>
      <c r="I703" s="25"/>
    </row>
    <row r="704" ht="15.75" customHeight="1">
      <c r="B704" s="13"/>
      <c r="D704" s="16"/>
      <c r="E704" s="16"/>
      <c r="F704" s="19"/>
      <c r="G704" s="20"/>
      <c r="H704" s="24"/>
      <c r="I704" s="25"/>
    </row>
    <row r="705" ht="15.75" customHeight="1">
      <c r="B705" s="13"/>
      <c r="D705" s="16"/>
      <c r="E705" s="16"/>
      <c r="F705" s="19"/>
      <c r="G705" s="20"/>
      <c r="H705" s="24"/>
      <c r="I705" s="25"/>
    </row>
    <row r="706" ht="15.75" customHeight="1">
      <c r="B706" s="13"/>
      <c r="D706" s="16"/>
      <c r="E706" s="16"/>
      <c r="F706" s="19"/>
      <c r="G706" s="20"/>
      <c r="H706" s="24"/>
      <c r="I706" s="25"/>
    </row>
    <row r="707" ht="15.75" customHeight="1">
      <c r="B707" s="13"/>
      <c r="D707" s="16"/>
      <c r="E707" s="16"/>
      <c r="F707" s="19"/>
      <c r="G707" s="20"/>
      <c r="H707" s="24"/>
      <c r="I707" s="25"/>
    </row>
    <row r="708" ht="15.75" customHeight="1">
      <c r="B708" s="13"/>
      <c r="D708" s="16"/>
      <c r="E708" s="16"/>
      <c r="F708" s="19"/>
      <c r="G708" s="20"/>
      <c r="H708" s="24"/>
      <c r="I708" s="25"/>
    </row>
    <row r="709" ht="15.75" customHeight="1">
      <c r="B709" s="13"/>
      <c r="D709" s="16"/>
      <c r="E709" s="16"/>
      <c r="F709" s="19"/>
      <c r="G709" s="20"/>
      <c r="H709" s="24"/>
      <c r="I709" s="25"/>
    </row>
    <row r="710" ht="15.75" customHeight="1">
      <c r="B710" s="13"/>
      <c r="D710" s="16"/>
      <c r="E710" s="16"/>
      <c r="F710" s="19"/>
      <c r="G710" s="20"/>
      <c r="H710" s="24"/>
      <c r="I710" s="25"/>
    </row>
    <row r="711" ht="15.75" customHeight="1">
      <c r="B711" s="13"/>
      <c r="D711" s="16"/>
      <c r="E711" s="16"/>
      <c r="F711" s="19"/>
      <c r="G711" s="20"/>
      <c r="H711" s="24"/>
      <c r="I711" s="25"/>
    </row>
    <row r="712" ht="15.75" customHeight="1">
      <c r="B712" s="13"/>
      <c r="D712" s="16"/>
      <c r="E712" s="16"/>
      <c r="F712" s="19"/>
      <c r="G712" s="20"/>
      <c r="H712" s="24"/>
      <c r="I712" s="25"/>
    </row>
    <row r="713" ht="15.75" customHeight="1">
      <c r="B713" s="13"/>
      <c r="D713" s="16"/>
      <c r="E713" s="16"/>
      <c r="F713" s="19"/>
      <c r="G713" s="20"/>
      <c r="H713" s="24"/>
      <c r="I713" s="25"/>
    </row>
    <row r="714" ht="15.75" customHeight="1">
      <c r="B714" s="13"/>
      <c r="D714" s="16"/>
      <c r="E714" s="16"/>
      <c r="F714" s="19"/>
      <c r="G714" s="20"/>
      <c r="H714" s="24"/>
      <c r="I714" s="25"/>
    </row>
    <row r="715" ht="15.75" customHeight="1">
      <c r="B715" s="13"/>
      <c r="D715" s="16"/>
      <c r="E715" s="16"/>
      <c r="F715" s="19"/>
      <c r="G715" s="20"/>
      <c r="H715" s="24"/>
      <c r="I715" s="25"/>
    </row>
    <row r="716" ht="15.75" customHeight="1">
      <c r="B716" s="13"/>
      <c r="D716" s="16"/>
      <c r="E716" s="16"/>
      <c r="F716" s="19"/>
      <c r="G716" s="20"/>
      <c r="H716" s="24"/>
      <c r="I716" s="25"/>
    </row>
    <row r="717" ht="15.75" customHeight="1">
      <c r="B717" s="13"/>
      <c r="D717" s="16"/>
      <c r="E717" s="16"/>
      <c r="F717" s="19"/>
      <c r="G717" s="20"/>
      <c r="H717" s="24"/>
      <c r="I717" s="25"/>
    </row>
    <row r="718" ht="15.75" customHeight="1">
      <c r="B718" s="13"/>
      <c r="D718" s="16"/>
      <c r="E718" s="16"/>
      <c r="F718" s="19"/>
      <c r="G718" s="20"/>
      <c r="H718" s="24"/>
      <c r="I718" s="25"/>
    </row>
    <row r="719" ht="15.75" customHeight="1">
      <c r="B719" s="13"/>
      <c r="D719" s="16"/>
      <c r="E719" s="16"/>
      <c r="F719" s="19"/>
      <c r="G719" s="20"/>
      <c r="H719" s="24"/>
      <c r="I719" s="25"/>
    </row>
    <row r="720" ht="15.75" customHeight="1">
      <c r="B720" s="13"/>
      <c r="D720" s="16"/>
      <c r="E720" s="16"/>
      <c r="F720" s="19"/>
      <c r="G720" s="20"/>
      <c r="H720" s="24"/>
      <c r="I720" s="25"/>
    </row>
    <row r="721" ht="15.75" customHeight="1">
      <c r="B721" s="13"/>
      <c r="D721" s="16"/>
      <c r="E721" s="16"/>
      <c r="F721" s="19"/>
      <c r="G721" s="20"/>
      <c r="H721" s="24"/>
      <c r="I721" s="25"/>
    </row>
    <row r="722" ht="15.75" customHeight="1">
      <c r="B722" s="13"/>
      <c r="D722" s="16"/>
      <c r="E722" s="16"/>
      <c r="F722" s="19"/>
      <c r="G722" s="20"/>
      <c r="H722" s="24"/>
      <c r="I722" s="25"/>
    </row>
    <row r="723" ht="15.75" customHeight="1">
      <c r="B723" s="13"/>
      <c r="D723" s="16"/>
      <c r="E723" s="16"/>
      <c r="F723" s="19"/>
      <c r="G723" s="20"/>
      <c r="H723" s="24"/>
      <c r="I723" s="25"/>
    </row>
    <row r="724" ht="15.75" customHeight="1">
      <c r="B724" s="13"/>
      <c r="D724" s="16"/>
      <c r="E724" s="16"/>
      <c r="F724" s="19"/>
      <c r="G724" s="20"/>
      <c r="H724" s="24"/>
      <c r="I724" s="25"/>
    </row>
    <row r="725" ht="15.75" customHeight="1">
      <c r="B725" s="13"/>
      <c r="D725" s="16"/>
      <c r="E725" s="16"/>
      <c r="F725" s="19"/>
      <c r="G725" s="20"/>
      <c r="H725" s="24"/>
      <c r="I725" s="25"/>
    </row>
    <row r="726" ht="15.75" customHeight="1">
      <c r="B726" s="13"/>
      <c r="D726" s="16"/>
      <c r="E726" s="16"/>
      <c r="F726" s="19"/>
      <c r="G726" s="20"/>
      <c r="H726" s="24"/>
      <c r="I726" s="25"/>
    </row>
    <row r="727" ht="15.75" customHeight="1">
      <c r="B727" s="13"/>
      <c r="D727" s="16"/>
      <c r="E727" s="16"/>
      <c r="F727" s="19"/>
      <c r="G727" s="20"/>
      <c r="H727" s="24"/>
      <c r="I727" s="25"/>
    </row>
    <row r="728" ht="15.75" customHeight="1">
      <c r="B728" s="13"/>
      <c r="D728" s="16"/>
      <c r="E728" s="16"/>
      <c r="F728" s="19"/>
      <c r="G728" s="20"/>
      <c r="H728" s="24"/>
      <c r="I728" s="25"/>
    </row>
    <row r="729" ht="15.75" customHeight="1">
      <c r="B729" s="13"/>
      <c r="D729" s="16"/>
      <c r="E729" s="16"/>
      <c r="F729" s="19"/>
      <c r="G729" s="20"/>
      <c r="H729" s="24"/>
      <c r="I729" s="25"/>
    </row>
    <row r="730" ht="15.75" customHeight="1">
      <c r="B730" s="13"/>
      <c r="D730" s="16"/>
      <c r="E730" s="16"/>
      <c r="F730" s="19"/>
      <c r="G730" s="20"/>
      <c r="H730" s="24"/>
      <c r="I730" s="25"/>
    </row>
    <row r="731" ht="15.75" customHeight="1">
      <c r="B731" s="13"/>
      <c r="D731" s="16"/>
      <c r="E731" s="16"/>
      <c r="F731" s="19"/>
      <c r="G731" s="20"/>
      <c r="H731" s="24"/>
      <c r="I731" s="25"/>
    </row>
    <row r="732" ht="15.75" customHeight="1">
      <c r="B732" s="13"/>
      <c r="D732" s="16"/>
      <c r="E732" s="16"/>
      <c r="F732" s="19"/>
      <c r="G732" s="20"/>
      <c r="H732" s="24"/>
      <c r="I732" s="25"/>
    </row>
    <row r="733" ht="15.75" customHeight="1">
      <c r="B733" s="13"/>
      <c r="D733" s="16"/>
      <c r="E733" s="16"/>
      <c r="F733" s="19"/>
      <c r="G733" s="20"/>
      <c r="H733" s="24"/>
      <c r="I733" s="25"/>
    </row>
    <row r="734" ht="15.75" customHeight="1">
      <c r="B734" s="13"/>
      <c r="D734" s="16"/>
      <c r="E734" s="16"/>
      <c r="F734" s="19"/>
      <c r="G734" s="20"/>
      <c r="H734" s="24"/>
      <c r="I734" s="25"/>
    </row>
    <row r="735" ht="15.75" customHeight="1">
      <c r="B735" s="13"/>
      <c r="D735" s="16"/>
      <c r="E735" s="16"/>
      <c r="F735" s="19"/>
      <c r="G735" s="20"/>
      <c r="H735" s="24"/>
      <c r="I735" s="25"/>
    </row>
    <row r="736" ht="15.75" customHeight="1">
      <c r="B736" s="13"/>
      <c r="D736" s="16"/>
      <c r="E736" s="16"/>
      <c r="F736" s="19"/>
      <c r="G736" s="20"/>
      <c r="H736" s="24"/>
      <c r="I736" s="25"/>
    </row>
    <row r="737" ht="15.75" customHeight="1">
      <c r="B737" s="13"/>
      <c r="D737" s="16"/>
      <c r="E737" s="16"/>
      <c r="F737" s="19"/>
      <c r="G737" s="20"/>
      <c r="H737" s="24"/>
      <c r="I737" s="25"/>
    </row>
    <row r="738" ht="15.75" customHeight="1">
      <c r="B738" s="13"/>
      <c r="D738" s="16"/>
      <c r="E738" s="16"/>
      <c r="F738" s="19"/>
      <c r="G738" s="20"/>
      <c r="H738" s="24"/>
      <c r="I738" s="25"/>
    </row>
    <row r="739" ht="15.75" customHeight="1">
      <c r="B739" s="13"/>
      <c r="D739" s="16"/>
      <c r="E739" s="16"/>
      <c r="F739" s="19"/>
      <c r="G739" s="20"/>
      <c r="H739" s="24"/>
      <c r="I739" s="25"/>
    </row>
    <row r="740" ht="15.75" customHeight="1">
      <c r="B740" s="13"/>
      <c r="D740" s="16"/>
      <c r="E740" s="16"/>
      <c r="F740" s="19"/>
      <c r="G740" s="20"/>
      <c r="H740" s="24"/>
      <c r="I740" s="25"/>
    </row>
    <row r="741" ht="15.75" customHeight="1">
      <c r="B741" s="13"/>
      <c r="D741" s="16"/>
      <c r="E741" s="16"/>
      <c r="F741" s="19"/>
      <c r="G741" s="20"/>
      <c r="H741" s="24"/>
      <c r="I741" s="25"/>
    </row>
    <row r="742" ht="15.75" customHeight="1">
      <c r="B742" s="13"/>
      <c r="D742" s="16"/>
      <c r="E742" s="16"/>
      <c r="F742" s="19"/>
      <c r="G742" s="20"/>
      <c r="H742" s="24"/>
      <c r="I742" s="25"/>
    </row>
    <row r="743" ht="15.75" customHeight="1">
      <c r="B743" s="13"/>
      <c r="D743" s="16"/>
      <c r="E743" s="16"/>
      <c r="F743" s="19"/>
      <c r="G743" s="20"/>
      <c r="H743" s="24"/>
      <c r="I743" s="25"/>
    </row>
    <row r="744" ht="15.75" customHeight="1">
      <c r="B744" s="13"/>
      <c r="D744" s="16"/>
      <c r="E744" s="16"/>
      <c r="F744" s="19"/>
      <c r="G744" s="20"/>
      <c r="H744" s="24"/>
      <c r="I744" s="25"/>
    </row>
    <row r="745" ht="15.75" customHeight="1">
      <c r="B745" s="13"/>
      <c r="D745" s="16"/>
      <c r="E745" s="16"/>
      <c r="F745" s="19"/>
      <c r="G745" s="20"/>
      <c r="H745" s="24"/>
      <c r="I745" s="25"/>
    </row>
    <row r="746" ht="15.75" customHeight="1">
      <c r="B746" s="13"/>
      <c r="D746" s="16"/>
      <c r="E746" s="16"/>
      <c r="F746" s="19"/>
      <c r="G746" s="20"/>
      <c r="H746" s="24"/>
      <c r="I746" s="25"/>
    </row>
    <row r="747" ht="15.75" customHeight="1">
      <c r="B747" s="13"/>
      <c r="D747" s="16"/>
      <c r="E747" s="16"/>
      <c r="F747" s="19"/>
      <c r="G747" s="20"/>
      <c r="H747" s="24"/>
      <c r="I747" s="25"/>
    </row>
    <row r="748" ht="15.75" customHeight="1">
      <c r="B748" s="13"/>
      <c r="D748" s="16"/>
      <c r="E748" s="16"/>
      <c r="F748" s="19"/>
      <c r="G748" s="20"/>
      <c r="H748" s="24"/>
      <c r="I748" s="25"/>
    </row>
    <row r="749" ht="15.75" customHeight="1">
      <c r="B749" s="13"/>
      <c r="D749" s="16"/>
      <c r="E749" s="16"/>
      <c r="F749" s="19"/>
      <c r="G749" s="20"/>
      <c r="H749" s="24"/>
      <c r="I749" s="25"/>
    </row>
    <row r="750" ht="15.75" customHeight="1">
      <c r="B750" s="13"/>
      <c r="D750" s="16"/>
      <c r="E750" s="16"/>
      <c r="F750" s="19"/>
      <c r="G750" s="20"/>
      <c r="H750" s="24"/>
      <c r="I750" s="25"/>
    </row>
    <row r="751" ht="15.75" customHeight="1">
      <c r="B751" s="13"/>
      <c r="D751" s="16"/>
      <c r="E751" s="16"/>
      <c r="F751" s="19"/>
      <c r="G751" s="20"/>
      <c r="H751" s="24"/>
      <c r="I751" s="25"/>
    </row>
    <row r="752" ht="15.75" customHeight="1">
      <c r="B752" s="13"/>
      <c r="D752" s="16"/>
      <c r="E752" s="16"/>
      <c r="F752" s="19"/>
      <c r="G752" s="20"/>
      <c r="H752" s="24"/>
      <c r="I752" s="25"/>
    </row>
    <row r="753" ht="15.75" customHeight="1">
      <c r="B753" s="13"/>
      <c r="D753" s="16"/>
      <c r="E753" s="16"/>
      <c r="F753" s="19"/>
      <c r="G753" s="20"/>
      <c r="H753" s="24"/>
      <c r="I753" s="25"/>
    </row>
    <row r="754" ht="15.75" customHeight="1">
      <c r="B754" s="13"/>
      <c r="D754" s="16"/>
      <c r="E754" s="16"/>
      <c r="F754" s="19"/>
      <c r="G754" s="20"/>
      <c r="H754" s="24"/>
      <c r="I754" s="25"/>
    </row>
    <row r="755" ht="15.75" customHeight="1">
      <c r="B755" s="13"/>
      <c r="D755" s="16"/>
      <c r="E755" s="16"/>
      <c r="F755" s="19"/>
      <c r="G755" s="20"/>
      <c r="H755" s="24"/>
      <c r="I755" s="25"/>
    </row>
    <row r="756" ht="15.75" customHeight="1">
      <c r="B756" s="13"/>
      <c r="D756" s="16"/>
      <c r="E756" s="16"/>
      <c r="F756" s="19"/>
      <c r="G756" s="20"/>
      <c r="H756" s="24"/>
      <c r="I756" s="25"/>
    </row>
    <row r="757" ht="15.75" customHeight="1">
      <c r="B757" s="13"/>
      <c r="D757" s="16"/>
      <c r="E757" s="16"/>
      <c r="F757" s="19"/>
      <c r="G757" s="20"/>
      <c r="H757" s="24"/>
      <c r="I757" s="25"/>
    </row>
    <row r="758" ht="15.75" customHeight="1">
      <c r="B758" s="13"/>
      <c r="D758" s="16"/>
      <c r="E758" s="16"/>
      <c r="F758" s="19"/>
      <c r="G758" s="20"/>
      <c r="H758" s="24"/>
      <c r="I758" s="25"/>
    </row>
    <row r="759" ht="15.75" customHeight="1">
      <c r="B759" s="13"/>
      <c r="D759" s="16"/>
      <c r="E759" s="16"/>
      <c r="F759" s="19"/>
      <c r="G759" s="20"/>
      <c r="H759" s="24"/>
      <c r="I759" s="25"/>
    </row>
    <row r="760" ht="15.75" customHeight="1">
      <c r="B760" s="13"/>
      <c r="D760" s="16"/>
      <c r="E760" s="16"/>
      <c r="F760" s="19"/>
      <c r="G760" s="20"/>
      <c r="H760" s="24"/>
      <c r="I760" s="25"/>
    </row>
    <row r="761" ht="15.75" customHeight="1">
      <c r="B761" s="13"/>
      <c r="D761" s="16"/>
      <c r="E761" s="16"/>
      <c r="F761" s="19"/>
      <c r="G761" s="20"/>
      <c r="H761" s="24"/>
      <c r="I761" s="25"/>
    </row>
    <row r="762" ht="15.75" customHeight="1">
      <c r="B762" s="13"/>
      <c r="D762" s="16"/>
      <c r="E762" s="16"/>
      <c r="F762" s="19"/>
      <c r="G762" s="20"/>
      <c r="H762" s="24"/>
      <c r="I762" s="25"/>
    </row>
    <row r="763" ht="15.75" customHeight="1">
      <c r="B763" s="13"/>
      <c r="D763" s="16"/>
      <c r="E763" s="16"/>
      <c r="F763" s="19"/>
      <c r="G763" s="20"/>
      <c r="H763" s="24"/>
      <c r="I763" s="25"/>
    </row>
    <row r="764" ht="15.75" customHeight="1">
      <c r="B764" s="13"/>
      <c r="D764" s="16"/>
      <c r="E764" s="16"/>
      <c r="F764" s="19"/>
      <c r="G764" s="20"/>
      <c r="H764" s="24"/>
      <c r="I764" s="25"/>
    </row>
    <row r="765" ht="15.75" customHeight="1">
      <c r="B765" s="13"/>
      <c r="D765" s="16"/>
      <c r="E765" s="16"/>
      <c r="F765" s="19"/>
      <c r="G765" s="20"/>
      <c r="H765" s="24"/>
      <c r="I765" s="25"/>
    </row>
    <row r="766" ht="15.75" customHeight="1">
      <c r="B766" s="13"/>
      <c r="D766" s="16"/>
      <c r="E766" s="16"/>
      <c r="F766" s="19"/>
      <c r="G766" s="20"/>
      <c r="H766" s="24"/>
      <c r="I766" s="25"/>
    </row>
    <row r="767" ht="15.75" customHeight="1">
      <c r="B767" s="13"/>
      <c r="D767" s="16"/>
      <c r="E767" s="16"/>
      <c r="F767" s="19"/>
      <c r="G767" s="20"/>
      <c r="H767" s="24"/>
      <c r="I767" s="25"/>
    </row>
    <row r="768" ht="15.75" customHeight="1">
      <c r="B768" s="13"/>
      <c r="D768" s="16"/>
      <c r="E768" s="16"/>
      <c r="F768" s="19"/>
      <c r="G768" s="20"/>
      <c r="H768" s="24"/>
      <c r="I768" s="25"/>
    </row>
    <row r="769" ht="15.75" customHeight="1">
      <c r="B769" s="13"/>
      <c r="D769" s="16"/>
      <c r="E769" s="16"/>
      <c r="F769" s="19"/>
      <c r="G769" s="20"/>
      <c r="H769" s="24"/>
      <c r="I769" s="25"/>
    </row>
    <row r="770" ht="15.75" customHeight="1">
      <c r="B770" s="13"/>
      <c r="D770" s="16"/>
      <c r="E770" s="16"/>
      <c r="F770" s="19"/>
      <c r="G770" s="20"/>
      <c r="H770" s="24"/>
      <c r="I770" s="25"/>
    </row>
    <row r="771" ht="15.75" customHeight="1">
      <c r="B771" s="13"/>
      <c r="D771" s="16"/>
      <c r="E771" s="16"/>
      <c r="F771" s="19"/>
      <c r="G771" s="20"/>
      <c r="H771" s="24"/>
      <c r="I771" s="25"/>
    </row>
    <row r="772" ht="15.75" customHeight="1">
      <c r="B772" s="13"/>
      <c r="D772" s="16"/>
      <c r="E772" s="16"/>
      <c r="F772" s="19"/>
      <c r="G772" s="20"/>
      <c r="H772" s="24"/>
      <c r="I772" s="25"/>
    </row>
    <row r="773" ht="15.75" customHeight="1">
      <c r="B773" s="13"/>
      <c r="D773" s="16"/>
      <c r="E773" s="16"/>
      <c r="F773" s="19"/>
      <c r="G773" s="20"/>
      <c r="H773" s="24"/>
      <c r="I773" s="25"/>
    </row>
    <row r="774" ht="15.75" customHeight="1">
      <c r="B774" s="13"/>
      <c r="D774" s="16"/>
      <c r="E774" s="16"/>
      <c r="F774" s="19"/>
      <c r="G774" s="20"/>
      <c r="H774" s="24"/>
      <c r="I774" s="25"/>
    </row>
    <row r="775" ht="15.75" customHeight="1">
      <c r="B775" s="13"/>
      <c r="D775" s="16"/>
      <c r="E775" s="16"/>
      <c r="F775" s="19"/>
      <c r="G775" s="20"/>
      <c r="H775" s="24"/>
      <c r="I775" s="25"/>
    </row>
    <row r="776" ht="15.75" customHeight="1">
      <c r="B776" s="13"/>
      <c r="D776" s="16"/>
      <c r="E776" s="16"/>
      <c r="F776" s="19"/>
      <c r="G776" s="20"/>
      <c r="H776" s="24"/>
      <c r="I776" s="25"/>
    </row>
    <row r="777" ht="15.75" customHeight="1">
      <c r="B777" s="13"/>
      <c r="D777" s="16"/>
      <c r="E777" s="16"/>
      <c r="F777" s="19"/>
      <c r="G777" s="20"/>
      <c r="H777" s="24"/>
      <c r="I777" s="25"/>
    </row>
    <row r="778" ht="15.75" customHeight="1">
      <c r="B778" s="13"/>
      <c r="D778" s="16"/>
      <c r="E778" s="16"/>
      <c r="F778" s="19"/>
      <c r="G778" s="20"/>
      <c r="H778" s="24"/>
      <c r="I778" s="25"/>
    </row>
    <row r="779" ht="15.75" customHeight="1">
      <c r="B779" s="13"/>
      <c r="D779" s="16"/>
      <c r="E779" s="16"/>
      <c r="F779" s="19"/>
      <c r="G779" s="20"/>
      <c r="H779" s="24"/>
      <c r="I779" s="25"/>
    </row>
    <row r="780" ht="15.75" customHeight="1">
      <c r="B780" s="13"/>
      <c r="D780" s="16"/>
      <c r="E780" s="16"/>
      <c r="F780" s="19"/>
      <c r="G780" s="20"/>
      <c r="H780" s="24"/>
      <c r="I780" s="25"/>
    </row>
    <row r="781" ht="15.75" customHeight="1">
      <c r="B781" s="13"/>
      <c r="D781" s="16"/>
      <c r="E781" s="16"/>
      <c r="F781" s="19"/>
      <c r="G781" s="20"/>
      <c r="H781" s="24"/>
      <c r="I781" s="25"/>
    </row>
    <row r="782" ht="15.75" customHeight="1">
      <c r="B782" s="13"/>
      <c r="D782" s="16"/>
      <c r="E782" s="16"/>
      <c r="F782" s="19"/>
      <c r="G782" s="20"/>
      <c r="H782" s="24"/>
      <c r="I782" s="25"/>
    </row>
    <row r="783" ht="15.75" customHeight="1">
      <c r="B783" s="13"/>
      <c r="D783" s="16"/>
      <c r="E783" s="16"/>
      <c r="F783" s="19"/>
      <c r="G783" s="20"/>
      <c r="H783" s="24"/>
      <c r="I783" s="25"/>
    </row>
    <row r="784" ht="15.75" customHeight="1">
      <c r="B784" s="13"/>
      <c r="D784" s="16"/>
      <c r="E784" s="16"/>
      <c r="F784" s="19"/>
      <c r="G784" s="20"/>
      <c r="H784" s="24"/>
      <c r="I784" s="25"/>
    </row>
    <row r="785" ht="15.75" customHeight="1">
      <c r="B785" s="13"/>
      <c r="D785" s="16"/>
      <c r="E785" s="16"/>
      <c r="F785" s="19"/>
      <c r="G785" s="20"/>
      <c r="H785" s="24"/>
      <c r="I785" s="25"/>
    </row>
    <row r="786" ht="15.75" customHeight="1">
      <c r="B786" s="13"/>
      <c r="D786" s="16"/>
      <c r="E786" s="16"/>
      <c r="F786" s="19"/>
      <c r="G786" s="20"/>
      <c r="H786" s="24"/>
      <c r="I786" s="25"/>
    </row>
    <row r="787" ht="15.75" customHeight="1">
      <c r="B787" s="13"/>
      <c r="D787" s="16"/>
      <c r="E787" s="16"/>
      <c r="F787" s="19"/>
      <c r="G787" s="20"/>
      <c r="H787" s="24"/>
      <c r="I787" s="25"/>
    </row>
    <row r="788" ht="15.75" customHeight="1">
      <c r="B788" s="13"/>
      <c r="D788" s="16"/>
      <c r="E788" s="16"/>
      <c r="F788" s="19"/>
      <c r="G788" s="20"/>
      <c r="H788" s="24"/>
      <c r="I788" s="25"/>
    </row>
    <row r="789" ht="15.75" customHeight="1">
      <c r="B789" s="13"/>
      <c r="D789" s="16"/>
      <c r="E789" s="16"/>
      <c r="F789" s="19"/>
      <c r="G789" s="20"/>
      <c r="H789" s="24"/>
      <c r="I789" s="25"/>
    </row>
    <row r="790" ht="15.75" customHeight="1">
      <c r="B790" s="13"/>
      <c r="D790" s="16"/>
      <c r="E790" s="16"/>
      <c r="F790" s="19"/>
      <c r="G790" s="20"/>
      <c r="H790" s="24"/>
      <c r="I790" s="25"/>
    </row>
    <row r="791" ht="15.75" customHeight="1">
      <c r="B791" s="13"/>
      <c r="D791" s="16"/>
      <c r="E791" s="16"/>
      <c r="F791" s="19"/>
      <c r="G791" s="20"/>
      <c r="H791" s="24"/>
      <c r="I791" s="25"/>
    </row>
    <row r="792" ht="15.75" customHeight="1">
      <c r="B792" s="13"/>
      <c r="D792" s="16"/>
      <c r="E792" s="16"/>
      <c r="F792" s="19"/>
      <c r="G792" s="20"/>
      <c r="H792" s="24"/>
      <c r="I792" s="25"/>
    </row>
    <row r="793" ht="15.75" customHeight="1">
      <c r="B793" s="13"/>
      <c r="D793" s="16"/>
      <c r="E793" s="16"/>
      <c r="F793" s="19"/>
      <c r="G793" s="20"/>
      <c r="H793" s="24"/>
      <c r="I793" s="25"/>
    </row>
    <row r="794" ht="15.75" customHeight="1">
      <c r="B794" s="13"/>
      <c r="D794" s="16"/>
      <c r="E794" s="16"/>
      <c r="F794" s="19"/>
      <c r="G794" s="20"/>
      <c r="H794" s="24"/>
      <c r="I794" s="25"/>
    </row>
    <row r="795" ht="15.75" customHeight="1">
      <c r="B795" s="13"/>
      <c r="D795" s="16"/>
      <c r="E795" s="16"/>
      <c r="F795" s="19"/>
      <c r="G795" s="20"/>
      <c r="H795" s="24"/>
      <c r="I795" s="25"/>
    </row>
    <row r="796" ht="15.75" customHeight="1">
      <c r="B796" s="13"/>
      <c r="D796" s="16"/>
      <c r="E796" s="16"/>
      <c r="F796" s="19"/>
      <c r="G796" s="20"/>
      <c r="H796" s="24"/>
      <c r="I796" s="25"/>
    </row>
    <row r="797" ht="15.75" customHeight="1">
      <c r="B797" s="13"/>
      <c r="D797" s="16"/>
      <c r="E797" s="16"/>
      <c r="F797" s="19"/>
      <c r="G797" s="20"/>
      <c r="H797" s="24"/>
      <c r="I797" s="25"/>
    </row>
    <row r="798" ht="15.75" customHeight="1">
      <c r="B798" s="13"/>
      <c r="D798" s="16"/>
      <c r="E798" s="16"/>
      <c r="F798" s="19"/>
      <c r="G798" s="20"/>
      <c r="H798" s="24"/>
      <c r="I798" s="25"/>
    </row>
    <row r="799" ht="15.75" customHeight="1">
      <c r="B799" s="13"/>
      <c r="D799" s="16"/>
      <c r="E799" s="16"/>
      <c r="F799" s="19"/>
      <c r="G799" s="20"/>
      <c r="H799" s="24"/>
      <c r="I799" s="25"/>
    </row>
    <row r="800" ht="15.75" customHeight="1">
      <c r="B800" s="13"/>
      <c r="D800" s="16"/>
      <c r="E800" s="16"/>
      <c r="F800" s="19"/>
      <c r="G800" s="20"/>
      <c r="H800" s="24"/>
      <c r="I800" s="25"/>
    </row>
    <row r="801" ht="15.75" customHeight="1">
      <c r="B801" s="13"/>
      <c r="D801" s="16"/>
      <c r="E801" s="16"/>
      <c r="F801" s="19"/>
      <c r="G801" s="20"/>
      <c r="H801" s="24"/>
      <c r="I801" s="25"/>
    </row>
    <row r="802" ht="15.75" customHeight="1">
      <c r="B802" s="13"/>
      <c r="D802" s="16"/>
      <c r="E802" s="16"/>
      <c r="F802" s="19"/>
      <c r="G802" s="20"/>
      <c r="H802" s="24"/>
      <c r="I802" s="25"/>
    </row>
    <row r="803" ht="15.75" customHeight="1">
      <c r="B803" s="13"/>
      <c r="D803" s="16"/>
      <c r="E803" s="16"/>
      <c r="F803" s="19"/>
      <c r="G803" s="20"/>
      <c r="H803" s="24"/>
      <c r="I803" s="25"/>
    </row>
    <row r="804" ht="15.75" customHeight="1">
      <c r="B804" s="13"/>
      <c r="D804" s="16"/>
      <c r="E804" s="16"/>
      <c r="F804" s="19"/>
      <c r="G804" s="20"/>
      <c r="H804" s="24"/>
      <c r="I804" s="25"/>
    </row>
    <row r="805" ht="15.75" customHeight="1">
      <c r="B805" s="13"/>
      <c r="D805" s="16"/>
      <c r="E805" s="16"/>
      <c r="F805" s="19"/>
      <c r="G805" s="20"/>
      <c r="H805" s="24"/>
      <c r="I805" s="25"/>
    </row>
    <row r="806" ht="15.75" customHeight="1">
      <c r="B806" s="13"/>
      <c r="D806" s="16"/>
      <c r="E806" s="16"/>
      <c r="F806" s="19"/>
      <c r="G806" s="20"/>
      <c r="H806" s="24"/>
      <c r="I806" s="25"/>
    </row>
    <row r="807" ht="15.75" customHeight="1">
      <c r="B807" s="13"/>
      <c r="D807" s="16"/>
      <c r="E807" s="16"/>
      <c r="F807" s="19"/>
      <c r="G807" s="20"/>
      <c r="H807" s="24"/>
      <c r="I807" s="25"/>
    </row>
    <row r="808" ht="15.75" customHeight="1">
      <c r="B808" s="13"/>
      <c r="D808" s="16"/>
      <c r="E808" s="16"/>
      <c r="F808" s="19"/>
      <c r="G808" s="20"/>
      <c r="H808" s="24"/>
      <c r="I808" s="25"/>
    </row>
    <row r="809" ht="15.75" customHeight="1">
      <c r="B809" s="13"/>
      <c r="D809" s="16"/>
      <c r="E809" s="16"/>
      <c r="F809" s="19"/>
      <c r="G809" s="20"/>
      <c r="H809" s="24"/>
      <c r="I809" s="25"/>
    </row>
    <row r="810" ht="15.75" customHeight="1">
      <c r="B810" s="13"/>
      <c r="D810" s="16"/>
      <c r="E810" s="16"/>
      <c r="F810" s="19"/>
      <c r="G810" s="20"/>
      <c r="H810" s="24"/>
      <c r="I810" s="25"/>
    </row>
    <row r="811" ht="15.75" customHeight="1">
      <c r="B811" s="13"/>
      <c r="D811" s="16"/>
      <c r="E811" s="16"/>
      <c r="F811" s="19"/>
      <c r="G811" s="20"/>
      <c r="H811" s="24"/>
      <c r="I811" s="25"/>
    </row>
    <row r="812" ht="15.75" customHeight="1">
      <c r="B812" s="13"/>
      <c r="D812" s="16"/>
      <c r="E812" s="16"/>
      <c r="F812" s="19"/>
      <c r="G812" s="20"/>
      <c r="H812" s="24"/>
      <c r="I812" s="25"/>
    </row>
    <row r="813" ht="15.75" customHeight="1">
      <c r="B813" s="13"/>
      <c r="D813" s="16"/>
      <c r="E813" s="16"/>
      <c r="F813" s="19"/>
      <c r="G813" s="20"/>
      <c r="H813" s="24"/>
      <c r="I813" s="25"/>
    </row>
    <row r="814" ht="15.75" customHeight="1">
      <c r="B814" s="13"/>
      <c r="D814" s="16"/>
      <c r="E814" s="16"/>
      <c r="F814" s="19"/>
      <c r="G814" s="20"/>
      <c r="H814" s="24"/>
      <c r="I814" s="25"/>
    </row>
    <row r="815" ht="15.75" customHeight="1">
      <c r="B815" s="13"/>
      <c r="D815" s="16"/>
      <c r="E815" s="16"/>
      <c r="F815" s="19"/>
      <c r="G815" s="20"/>
      <c r="H815" s="24"/>
      <c r="I815" s="25"/>
    </row>
    <row r="816" ht="15.75" customHeight="1">
      <c r="B816" s="13"/>
      <c r="D816" s="16"/>
      <c r="E816" s="16"/>
      <c r="F816" s="19"/>
      <c r="G816" s="20"/>
      <c r="H816" s="24"/>
      <c r="I816" s="25"/>
    </row>
    <row r="817" ht="15.75" customHeight="1">
      <c r="B817" s="13"/>
      <c r="D817" s="16"/>
      <c r="E817" s="16"/>
      <c r="F817" s="19"/>
      <c r="G817" s="20"/>
      <c r="H817" s="24"/>
      <c r="I817" s="25"/>
    </row>
    <row r="818" ht="15.75" customHeight="1">
      <c r="B818" s="13"/>
      <c r="D818" s="16"/>
      <c r="E818" s="16"/>
      <c r="F818" s="19"/>
      <c r="G818" s="20"/>
      <c r="H818" s="24"/>
      <c r="I818" s="25"/>
    </row>
    <row r="819" ht="15.75" customHeight="1">
      <c r="B819" s="13"/>
      <c r="D819" s="16"/>
      <c r="E819" s="16"/>
      <c r="F819" s="19"/>
      <c r="G819" s="20"/>
      <c r="H819" s="24"/>
      <c r="I819" s="25"/>
    </row>
    <row r="820" ht="15.75" customHeight="1">
      <c r="B820" s="13"/>
      <c r="D820" s="16"/>
      <c r="E820" s="16"/>
      <c r="F820" s="19"/>
      <c r="G820" s="20"/>
      <c r="H820" s="24"/>
      <c r="I820" s="25"/>
    </row>
    <row r="821" ht="15.75" customHeight="1">
      <c r="B821" s="13"/>
      <c r="D821" s="16"/>
      <c r="E821" s="16"/>
      <c r="F821" s="19"/>
      <c r="G821" s="20"/>
      <c r="H821" s="24"/>
      <c r="I821" s="25"/>
    </row>
    <row r="822" ht="15.75" customHeight="1">
      <c r="B822" s="13"/>
      <c r="D822" s="16"/>
      <c r="E822" s="16"/>
      <c r="F822" s="19"/>
      <c r="G822" s="20"/>
      <c r="H822" s="24"/>
      <c r="I822" s="25"/>
    </row>
    <row r="823" ht="15.75" customHeight="1">
      <c r="B823" s="13"/>
      <c r="D823" s="16"/>
      <c r="E823" s="16"/>
      <c r="F823" s="19"/>
      <c r="G823" s="20"/>
      <c r="H823" s="24"/>
      <c r="I823" s="25"/>
    </row>
    <row r="824" ht="15.75" customHeight="1">
      <c r="B824" s="13"/>
      <c r="D824" s="16"/>
      <c r="E824" s="16"/>
      <c r="F824" s="19"/>
      <c r="G824" s="20"/>
      <c r="H824" s="24"/>
      <c r="I824" s="25"/>
    </row>
    <row r="825" ht="15.75" customHeight="1">
      <c r="B825" s="13"/>
      <c r="D825" s="16"/>
      <c r="E825" s="16"/>
      <c r="F825" s="19"/>
      <c r="G825" s="20"/>
      <c r="H825" s="24"/>
      <c r="I825" s="25"/>
    </row>
    <row r="826" ht="15.75" customHeight="1">
      <c r="B826" s="13"/>
      <c r="D826" s="16"/>
      <c r="E826" s="16"/>
      <c r="F826" s="19"/>
      <c r="G826" s="20"/>
      <c r="H826" s="24"/>
      <c r="I826" s="25"/>
    </row>
    <row r="827" ht="15.75" customHeight="1">
      <c r="B827" s="13"/>
      <c r="D827" s="16"/>
      <c r="E827" s="16"/>
      <c r="F827" s="19"/>
      <c r="G827" s="20"/>
      <c r="H827" s="24"/>
      <c r="I827" s="25"/>
    </row>
    <row r="828" ht="15.75" customHeight="1">
      <c r="B828" s="13"/>
      <c r="D828" s="16"/>
      <c r="E828" s="16"/>
      <c r="F828" s="19"/>
      <c r="G828" s="20"/>
      <c r="H828" s="24"/>
      <c r="I828" s="25"/>
    </row>
    <row r="829" ht="15.75" customHeight="1">
      <c r="B829" s="13"/>
      <c r="D829" s="16"/>
      <c r="E829" s="16"/>
      <c r="F829" s="19"/>
      <c r="G829" s="20"/>
      <c r="H829" s="24"/>
      <c r="I829" s="25"/>
    </row>
    <row r="830" ht="15.75" customHeight="1">
      <c r="B830" s="13"/>
      <c r="D830" s="16"/>
      <c r="E830" s="16"/>
      <c r="F830" s="19"/>
      <c r="G830" s="20"/>
      <c r="H830" s="24"/>
      <c r="I830" s="25"/>
    </row>
    <row r="831" ht="15.75" customHeight="1">
      <c r="B831" s="13"/>
      <c r="D831" s="16"/>
      <c r="E831" s="16"/>
      <c r="F831" s="19"/>
      <c r="G831" s="20"/>
      <c r="H831" s="24"/>
      <c r="I831" s="25"/>
    </row>
    <row r="832" ht="15.75" customHeight="1">
      <c r="B832" s="13"/>
      <c r="D832" s="16"/>
      <c r="E832" s="16"/>
      <c r="F832" s="19"/>
      <c r="G832" s="20"/>
      <c r="H832" s="24"/>
      <c r="I832" s="25"/>
    </row>
    <row r="833" ht="15.75" customHeight="1">
      <c r="B833" s="13"/>
      <c r="D833" s="16"/>
      <c r="E833" s="16"/>
      <c r="F833" s="19"/>
      <c r="G833" s="20"/>
      <c r="H833" s="24"/>
      <c r="I833" s="25"/>
    </row>
    <row r="834" ht="15.75" customHeight="1">
      <c r="B834" s="13"/>
      <c r="D834" s="16"/>
      <c r="E834" s="16"/>
      <c r="F834" s="19"/>
      <c r="G834" s="20"/>
      <c r="H834" s="24"/>
      <c r="I834" s="25"/>
    </row>
    <row r="835" ht="15.75" customHeight="1">
      <c r="B835" s="13"/>
      <c r="D835" s="16"/>
      <c r="E835" s="16"/>
      <c r="F835" s="19"/>
      <c r="G835" s="20"/>
      <c r="H835" s="24"/>
      <c r="I835" s="25"/>
    </row>
    <row r="836" ht="15.75" customHeight="1">
      <c r="B836" s="13"/>
      <c r="D836" s="16"/>
      <c r="E836" s="16"/>
      <c r="F836" s="19"/>
      <c r="G836" s="20"/>
      <c r="H836" s="24"/>
      <c r="I836" s="25"/>
    </row>
    <row r="837" ht="15.75" customHeight="1">
      <c r="B837" s="13"/>
      <c r="D837" s="16"/>
      <c r="E837" s="16"/>
      <c r="F837" s="19"/>
      <c r="G837" s="20"/>
      <c r="H837" s="24"/>
      <c r="I837" s="25"/>
    </row>
    <row r="838" ht="15.75" customHeight="1">
      <c r="B838" s="13"/>
      <c r="D838" s="16"/>
      <c r="E838" s="16"/>
      <c r="F838" s="19"/>
      <c r="G838" s="20"/>
      <c r="H838" s="24"/>
      <c r="I838" s="25"/>
    </row>
    <row r="839" ht="15.75" customHeight="1">
      <c r="B839" s="13"/>
      <c r="D839" s="16"/>
      <c r="E839" s="16"/>
      <c r="F839" s="19"/>
      <c r="G839" s="20"/>
      <c r="H839" s="24"/>
      <c r="I839" s="25"/>
    </row>
    <row r="840" ht="15.75" customHeight="1">
      <c r="B840" s="13"/>
      <c r="D840" s="16"/>
      <c r="E840" s="16"/>
      <c r="F840" s="19"/>
      <c r="G840" s="20"/>
      <c r="H840" s="24"/>
      <c r="I840" s="25"/>
    </row>
    <row r="841" ht="15.75" customHeight="1">
      <c r="B841" s="13"/>
      <c r="D841" s="16"/>
      <c r="E841" s="16"/>
      <c r="F841" s="19"/>
      <c r="G841" s="20"/>
      <c r="H841" s="24"/>
      <c r="I841" s="25"/>
    </row>
    <row r="842" ht="15.75" customHeight="1">
      <c r="B842" s="13"/>
      <c r="D842" s="16"/>
      <c r="E842" s="16"/>
      <c r="F842" s="19"/>
      <c r="G842" s="20"/>
      <c r="H842" s="24"/>
      <c r="I842" s="25"/>
    </row>
    <row r="843" ht="15.75" customHeight="1">
      <c r="B843" s="13"/>
      <c r="D843" s="16"/>
      <c r="E843" s="16"/>
      <c r="F843" s="19"/>
      <c r="G843" s="20"/>
      <c r="H843" s="24"/>
      <c r="I843" s="25"/>
    </row>
    <row r="844" ht="15.75" customHeight="1">
      <c r="B844" s="13"/>
      <c r="D844" s="16"/>
      <c r="E844" s="16"/>
      <c r="F844" s="19"/>
      <c r="G844" s="20"/>
      <c r="H844" s="24"/>
      <c r="I844" s="25"/>
    </row>
    <row r="845" ht="15.75" customHeight="1">
      <c r="B845" s="13"/>
      <c r="D845" s="16"/>
      <c r="E845" s="16"/>
      <c r="F845" s="19"/>
      <c r="G845" s="20"/>
      <c r="H845" s="24"/>
      <c r="I845" s="25"/>
    </row>
    <row r="846" ht="15.75" customHeight="1">
      <c r="B846" s="13"/>
      <c r="D846" s="16"/>
      <c r="E846" s="16"/>
      <c r="F846" s="19"/>
      <c r="G846" s="20"/>
      <c r="H846" s="24"/>
      <c r="I846" s="25"/>
    </row>
    <row r="847" ht="15.75" customHeight="1">
      <c r="B847" s="13"/>
      <c r="D847" s="16"/>
      <c r="E847" s="16"/>
      <c r="F847" s="19"/>
      <c r="G847" s="20"/>
      <c r="H847" s="24"/>
      <c r="I847" s="25"/>
    </row>
    <row r="848" ht="15.75" customHeight="1">
      <c r="B848" s="13"/>
      <c r="D848" s="16"/>
      <c r="E848" s="16"/>
      <c r="F848" s="19"/>
      <c r="G848" s="20"/>
      <c r="H848" s="24"/>
      <c r="I848" s="25"/>
    </row>
    <row r="849" ht="15.75" customHeight="1">
      <c r="B849" s="13"/>
      <c r="D849" s="16"/>
      <c r="E849" s="16"/>
      <c r="F849" s="19"/>
      <c r="G849" s="20"/>
      <c r="H849" s="24"/>
      <c r="I849" s="25"/>
    </row>
    <row r="850" ht="15.75" customHeight="1">
      <c r="B850" s="13"/>
      <c r="D850" s="16"/>
      <c r="E850" s="16"/>
      <c r="F850" s="19"/>
      <c r="G850" s="20"/>
      <c r="H850" s="24"/>
      <c r="I850" s="25"/>
    </row>
    <row r="851" ht="15.75" customHeight="1">
      <c r="B851" s="13"/>
      <c r="D851" s="16"/>
      <c r="E851" s="16"/>
      <c r="F851" s="19"/>
      <c r="G851" s="20"/>
      <c r="H851" s="24"/>
      <c r="I851" s="25"/>
    </row>
    <row r="852" ht="15.75" customHeight="1">
      <c r="B852" s="13"/>
      <c r="D852" s="16"/>
      <c r="E852" s="16"/>
      <c r="F852" s="19"/>
      <c r="G852" s="20"/>
      <c r="H852" s="24"/>
      <c r="I852" s="25"/>
    </row>
    <row r="853" ht="15.75" customHeight="1">
      <c r="B853" s="13"/>
      <c r="D853" s="16"/>
      <c r="E853" s="16"/>
      <c r="F853" s="19"/>
      <c r="G853" s="20"/>
      <c r="H853" s="24"/>
      <c r="I853" s="25"/>
    </row>
    <row r="854" ht="15.75" customHeight="1">
      <c r="B854" s="13"/>
      <c r="D854" s="16"/>
      <c r="E854" s="16"/>
      <c r="F854" s="19"/>
      <c r="G854" s="20"/>
      <c r="H854" s="24"/>
      <c r="I854" s="25"/>
    </row>
    <row r="855" ht="15.75" customHeight="1">
      <c r="B855" s="13"/>
      <c r="D855" s="16"/>
      <c r="E855" s="16"/>
      <c r="F855" s="19"/>
      <c r="G855" s="20"/>
      <c r="H855" s="24"/>
      <c r="I855" s="25"/>
    </row>
    <row r="856" ht="15.75" customHeight="1">
      <c r="B856" s="13"/>
      <c r="D856" s="16"/>
      <c r="E856" s="16"/>
      <c r="F856" s="19"/>
      <c r="G856" s="20"/>
      <c r="H856" s="24"/>
      <c r="I856" s="25"/>
    </row>
    <row r="857" ht="15.75" customHeight="1">
      <c r="B857" s="13"/>
      <c r="D857" s="16"/>
      <c r="E857" s="16"/>
      <c r="F857" s="19"/>
      <c r="G857" s="20"/>
      <c r="H857" s="24"/>
      <c r="I857" s="25"/>
    </row>
    <row r="858" ht="15.75" customHeight="1">
      <c r="B858" s="13"/>
      <c r="D858" s="16"/>
      <c r="E858" s="16"/>
      <c r="F858" s="19"/>
      <c r="G858" s="20"/>
      <c r="H858" s="24"/>
      <c r="I858" s="25"/>
    </row>
    <row r="859" ht="15.75" customHeight="1">
      <c r="B859" s="13"/>
      <c r="D859" s="16"/>
      <c r="E859" s="16"/>
      <c r="F859" s="19"/>
      <c r="G859" s="20"/>
      <c r="H859" s="24"/>
      <c r="I859" s="25"/>
    </row>
    <row r="860" ht="15.75" customHeight="1">
      <c r="B860" s="13"/>
      <c r="D860" s="16"/>
      <c r="E860" s="16"/>
      <c r="F860" s="19"/>
      <c r="G860" s="20"/>
      <c r="H860" s="24"/>
      <c r="I860" s="25"/>
    </row>
    <row r="861" ht="15.75" customHeight="1">
      <c r="B861" s="13"/>
      <c r="D861" s="16"/>
      <c r="E861" s="16"/>
      <c r="F861" s="19"/>
      <c r="G861" s="20"/>
      <c r="H861" s="24"/>
      <c r="I861" s="25"/>
    </row>
    <row r="862" ht="15.75" customHeight="1">
      <c r="B862" s="13"/>
      <c r="D862" s="16"/>
      <c r="E862" s="16"/>
      <c r="F862" s="19"/>
      <c r="G862" s="20"/>
      <c r="H862" s="24"/>
      <c r="I862" s="25"/>
    </row>
    <row r="863" ht="15.75" customHeight="1">
      <c r="B863" s="13"/>
      <c r="D863" s="16"/>
      <c r="E863" s="16"/>
      <c r="F863" s="19"/>
      <c r="G863" s="20"/>
      <c r="H863" s="24"/>
      <c r="I863" s="25"/>
    </row>
    <row r="864" ht="15.75" customHeight="1">
      <c r="B864" s="13"/>
      <c r="D864" s="16"/>
      <c r="E864" s="16"/>
      <c r="F864" s="19"/>
      <c r="G864" s="20"/>
      <c r="H864" s="24"/>
      <c r="I864" s="25"/>
    </row>
    <row r="865" ht="15.75" customHeight="1">
      <c r="B865" s="13"/>
      <c r="D865" s="16"/>
      <c r="E865" s="16"/>
      <c r="F865" s="19"/>
      <c r="G865" s="20"/>
      <c r="H865" s="24"/>
      <c r="I865" s="25"/>
    </row>
    <row r="866" ht="15.75" customHeight="1">
      <c r="B866" s="13"/>
      <c r="D866" s="16"/>
      <c r="E866" s="16"/>
      <c r="F866" s="19"/>
      <c r="G866" s="20"/>
      <c r="H866" s="24"/>
      <c r="I866" s="25"/>
    </row>
    <row r="867" ht="15.75" customHeight="1">
      <c r="B867" s="13"/>
      <c r="D867" s="16"/>
      <c r="E867" s="16"/>
      <c r="F867" s="19"/>
      <c r="G867" s="20"/>
      <c r="H867" s="24"/>
      <c r="I867" s="25"/>
    </row>
    <row r="868" ht="15.75" customHeight="1">
      <c r="B868" s="13"/>
      <c r="D868" s="16"/>
      <c r="E868" s="16"/>
      <c r="F868" s="19"/>
      <c r="G868" s="20"/>
      <c r="H868" s="24"/>
      <c r="I868" s="25"/>
    </row>
    <row r="869" ht="15.75" customHeight="1">
      <c r="B869" s="13"/>
      <c r="D869" s="16"/>
      <c r="E869" s="16"/>
      <c r="F869" s="19"/>
      <c r="G869" s="20"/>
      <c r="H869" s="24"/>
      <c r="I869" s="25"/>
    </row>
    <row r="870" ht="15.75" customHeight="1">
      <c r="B870" s="13"/>
      <c r="D870" s="16"/>
      <c r="E870" s="16"/>
      <c r="F870" s="19"/>
      <c r="G870" s="20"/>
      <c r="H870" s="24"/>
      <c r="I870" s="25"/>
    </row>
    <row r="871" ht="15.75" customHeight="1">
      <c r="B871" s="13"/>
      <c r="D871" s="16"/>
      <c r="E871" s="16"/>
      <c r="F871" s="19"/>
      <c r="G871" s="20"/>
      <c r="H871" s="24"/>
      <c r="I871" s="25"/>
    </row>
    <row r="872" ht="15.75" customHeight="1">
      <c r="B872" s="13"/>
      <c r="D872" s="16"/>
      <c r="E872" s="16"/>
      <c r="F872" s="19"/>
      <c r="G872" s="20"/>
      <c r="H872" s="24"/>
      <c r="I872" s="25"/>
    </row>
    <row r="873" ht="15.75" customHeight="1">
      <c r="B873" s="13"/>
      <c r="D873" s="16"/>
      <c r="E873" s="16"/>
      <c r="F873" s="19"/>
      <c r="G873" s="20"/>
      <c r="H873" s="24"/>
      <c r="I873" s="25"/>
    </row>
    <row r="874" ht="15.75" customHeight="1">
      <c r="B874" s="13"/>
      <c r="D874" s="16"/>
      <c r="E874" s="16"/>
      <c r="F874" s="19"/>
      <c r="G874" s="20"/>
      <c r="H874" s="24"/>
      <c r="I874" s="25"/>
    </row>
    <row r="875" ht="15.75" customHeight="1">
      <c r="B875" s="13"/>
      <c r="D875" s="16"/>
      <c r="E875" s="16"/>
      <c r="F875" s="19"/>
      <c r="G875" s="20"/>
      <c r="H875" s="24"/>
      <c r="I875" s="25"/>
    </row>
    <row r="876" ht="15.75" customHeight="1">
      <c r="B876" s="13"/>
      <c r="D876" s="16"/>
      <c r="E876" s="16"/>
      <c r="F876" s="19"/>
      <c r="G876" s="20"/>
      <c r="H876" s="24"/>
      <c r="I876" s="25"/>
    </row>
    <row r="877" ht="15.75" customHeight="1">
      <c r="B877" s="13"/>
      <c r="D877" s="16"/>
      <c r="E877" s="16"/>
      <c r="F877" s="19"/>
      <c r="G877" s="20"/>
      <c r="H877" s="24"/>
      <c r="I877" s="25"/>
    </row>
    <row r="878" ht="15.75" customHeight="1">
      <c r="B878" s="13"/>
      <c r="D878" s="16"/>
      <c r="E878" s="16"/>
      <c r="F878" s="19"/>
      <c r="G878" s="20"/>
      <c r="H878" s="24"/>
      <c r="I878" s="25"/>
    </row>
    <row r="879" ht="15.75" customHeight="1">
      <c r="B879" s="13"/>
      <c r="D879" s="16"/>
      <c r="E879" s="16"/>
      <c r="F879" s="19"/>
      <c r="G879" s="20"/>
      <c r="H879" s="24"/>
      <c r="I879" s="25"/>
    </row>
    <row r="880" ht="15.75" customHeight="1">
      <c r="B880" s="13"/>
      <c r="D880" s="16"/>
      <c r="E880" s="16"/>
      <c r="F880" s="19"/>
      <c r="G880" s="20"/>
      <c r="H880" s="24"/>
      <c r="I880" s="25"/>
    </row>
    <row r="881" ht="15.75" customHeight="1">
      <c r="B881" s="13"/>
      <c r="D881" s="16"/>
      <c r="E881" s="16"/>
      <c r="F881" s="19"/>
      <c r="G881" s="20"/>
      <c r="H881" s="24"/>
      <c r="I881" s="25"/>
    </row>
    <row r="882" ht="15.75" customHeight="1">
      <c r="B882" s="13"/>
      <c r="D882" s="16"/>
      <c r="E882" s="16"/>
      <c r="F882" s="19"/>
      <c r="G882" s="20"/>
      <c r="H882" s="24"/>
      <c r="I882" s="25"/>
    </row>
    <row r="883" ht="15.75" customHeight="1">
      <c r="B883" s="13"/>
      <c r="D883" s="16"/>
      <c r="E883" s="16"/>
      <c r="F883" s="19"/>
      <c r="G883" s="20"/>
      <c r="H883" s="24"/>
      <c r="I883" s="25"/>
    </row>
    <row r="884" ht="15.75" customHeight="1">
      <c r="B884" s="13"/>
      <c r="D884" s="16"/>
      <c r="E884" s="16"/>
      <c r="F884" s="19"/>
      <c r="G884" s="20"/>
      <c r="H884" s="24"/>
      <c r="I884" s="25"/>
    </row>
    <row r="885" ht="15.75" customHeight="1">
      <c r="B885" s="13"/>
      <c r="D885" s="16"/>
      <c r="E885" s="16"/>
      <c r="F885" s="19"/>
      <c r="G885" s="20"/>
      <c r="H885" s="24"/>
      <c r="I885" s="25"/>
    </row>
    <row r="886" ht="15.75" customHeight="1">
      <c r="B886" s="13"/>
      <c r="D886" s="16"/>
      <c r="E886" s="16"/>
      <c r="F886" s="19"/>
      <c r="G886" s="20"/>
      <c r="H886" s="24"/>
      <c r="I886" s="25"/>
    </row>
    <row r="887" ht="15.75" customHeight="1">
      <c r="B887" s="13"/>
      <c r="D887" s="16"/>
      <c r="E887" s="16"/>
      <c r="F887" s="19"/>
      <c r="G887" s="20"/>
      <c r="H887" s="24"/>
      <c r="I887" s="25"/>
    </row>
    <row r="888" ht="15.75" customHeight="1">
      <c r="B888" s="13"/>
      <c r="D888" s="16"/>
      <c r="E888" s="16"/>
      <c r="F888" s="19"/>
      <c r="G888" s="20"/>
      <c r="H888" s="24"/>
      <c r="I888" s="25"/>
    </row>
    <row r="889" ht="15.75" customHeight="1">
      <c r="B889" s="13"/>
      <c r="D889" s="16"/>
      <c r="E889" s="16"/>
      <c r="F889" s="19"/>
      <c r="G889" s="20"/>
      <c r="H889" s="24"/>
      <c r="I889" s="25"/>
    </row>
    <row r="890" ht="15.75" customHeight="1">
      <c r="B890" s="13"/>
      <c r="D890" s="16"/>
      <c r="E890" s="16"/>
      <c r="F890" s="19"/>
      <c r="G890" s="20"/>
      <c r="H890" s="24"/>
      <c r="I890" s="25"/>
    </row>
    <row r="891" ht="15.75" customHeight="1">
      <c r="B891" s="13"/>
      <c r="D891" s="16"/>
      <c r="E891" s="16"/>
      <c r="F891" s="19"/>
      <c r="G891" s="20"/>
      <c r="H891" s="24"/>
      <c r="I891" s="25"/>
    </row>
    <row r="892" ht="15.75" customHeight="1">
      <c r="B892" s="13"/>
      <c r="D892" s="16"/>
      <c r="E892" s="16"/>
      <c r="F892" s="19"/>
      <c r="G892" s="20"/>
      <c r="H892" s="24"/>
      <c r="I892" s="25"/>
    </row>
    <row r="893" ht="15.75" customHeight="1">
      <c r="B893" s="13"/>
      <c r="D893" s="16"/>
      <c r="E893" s="16"/>
      <c r="F893" s="19"/>
      <c r="G893" s="20"/>
      <c r="H893" s="24"/>
      <c r="I893" s="25"/>
    </row>
    <row r="894" ht="15.75" customHeight="1">
      <c r="B894" s="13"/>
      <c r="D894" s="16"/>
      <c r="E894" s="16"/>
      <c r="F894" s="19"/>
      <c r="G894" s="20"/>
      <c r="H894" s="24"/>
      <c r="I894" s="25"/>
    </row>
    <row r="895" ht="15.75" customHeight="1">
      <c r="B895" s="13"/>
      <c r="D895" s="16"/>
      <c r="E895" s="16"/>
      <c r="F895" s="19"/>
      <c r="G895" s="20"/>
      <c r="H895" s="24"/>
      <c r="I895" s="25"/>
    </row>
    <row r="896" ht="15.75" customHeight="1">
      <c r="B896" s="13"/>
      <c r="D896" s="16"/>
      <c r="E896" s="16"/>
      <c r="F896" s="19"/>
      <c r="G896" s="20"/>
      <c r="H896" s="24"/>
      <c r="I896" s="25"/>
    </row>
    <row r="897" ht="15.75" customHeight="1">
      <c r="B897" s="13"/>
      <c r="D897" s="16"/>
      <c r="E897" s="16"/>
      <c r="F897" s="19"/>
      <c r="G897" s="20"/>
      <c r="H897" s="24"/>
      <c r="I897" s="25"/>
    </row>
    <row r="898" ht="15.75" customHeight="1">
      <c r="B898" s="13"/>
      <c r="D898" s="16"/>
      <c r="E898" s="16"/>
      <c r="F898" s="19"/>
      <c r="G898" s="20"/>
      <c r="H898" s="24"/>
      <c r="I898" s="25"/>
    </row>
    <row r="899" ht="15.75" customHeight="1">
      <c r="B899" s="13"/>
      <c r="D899" s="16"/>
      <c r="E899" s="16"/>
      <c r="F899" s="19"/>
      <c r="G899" s="20"/>
      <c r="H899" s="24"/>
      <c r="I899" s="25"/>
    </row>
    <row r="900" ht="15.75" customHeight="1">
      <c r="B900" s="13"/>
      <c r="D900" s="16"/>
      <c r="E900" s="16"/>
      <c r="F900" s="19"/>
      <c r="G900" s="20"/>
      <c r="H900" s="24"/>
      <c r="I900" s="25"/>
    </row>
    <row r="901" ht="15.75" customHeight="1">
      <c r="B901" s="13"/>
      <c r="D901" s="16"/>
      <c r="E901" s="16"/>
      <c r="F901" s="19"/>
      <c r="G901" s="20"/>
      <c r="H901" s="24"/>
      <c r="I901" s="25"/>
    </row>
    <row r="902" ht="15.75" customHeight="1">
      <c r="B902" s="13"/>
      <c r="D902" s="16"/>
      <c r="E902" s="16"/>
      <c r="F902" s="19"/>
      <c r="G902" s="20"/>
      <c r="H902" s="24"/>
      <c r="I902" s="25"/>
    </row>
    <row r="903" ht="15.75" customHeight="1">
      <c r="B903" s="13"/>
      <c r="D903" s="16"/>
      <c r="E903" s="16"/>
      <c r="F903" s="19"/>
      <c r="G903" s="20"/>
      <c r="H903" s="24"/>
      <c r="I903" s="25"/>
    </row>
    <row r="904" ht="15.75" customHeight="1">
      <c r="B904" s="13"/>
      <c r="D904" s="16"/>
      <c r="E904" s="16"/>
      <c r="F904" s="19"/>
      <c r="G904" s="20"/>
      <c r="H904" s="24"/>
      <c r="I904" s="25"/>
    </row>
    <row r="905" ht="15.75" customHeight="1">
      <c r="B905" s="13"/>
      <c r="D905" s="16"/>
      <c r="E905" s="16"/>
      <c r="F905" s="19"/>
      <c r="G905" s="20"/>
      <c r="H905" s="24"/>
      <c r="I905" s="25"/>
    </row>
    <row r="906" ht="15.75" customHeight="1">
      <c r="B906" s="13"/>
      <c r="D906" s="16"/>
      <c r="E906" s="16"/>
      <c r="F906" s="19"/>
      <c r="G906" s="20"/>
      <c r="H906" s="24"/>
      <c r="I906" s="25"/>
    </row>
    <row r="907" ht="15.75" customHeight="1">
      <c r="B907" s="13"/>
      <c r="D907" s="16"/>
      <c r="E907" s="16"/>
      <c r="F907" s="19"/>
      <c r="G907" s="20"/>
      <c r="H907" s="24"/>
      <c r="I907" s="25"/>
    </row>
    <row r="908" ht="15.75" customHeight="1">
      <c r="B908" s="13"/>
      <c r="D908" s="16"/>
      <c r="E908" s="16"/>
      <c r="F908" s="19"/>
      <c r="G908" s="20"/>
      <c r="H908" s="24"/>
      <c r="I908" s="25"/>
    </row>
    <row r="909" ht="15.75" customHeight="1">
      <c r="B909" s="13"/>
      <c r="D909" s="16"/>
      <c r="E909" s="16"/>
      <c r="F909" s="19"/>
      <c r="G909" s="20"/>
      <c r="H909" s="24"/>
      <c r="I909" s="25"/>
    </row>
    <row r="910" ht="15.75" customHeight="1">
      <c r="B910" s="13"/>
      <c r="D910" s="16"/>
      <c r="E910" s="16"/>
      <c r="F910" s="19"/>
      <c r="G910" s="20"/>
      <c r="H910" s="24"/>
      <c r="I910" s="25"/>
    </row>
    <row r="911" ht="15.75" customHeight="1">
      <c r="B911" s="13"/>
      <c r="D911" s="16"/>
      <c r="E911" s="16"/>
      <c r="F911" s="19"/>
      <c r="G911" s="20"/>
      <c r="H911" s="24"/>
      <c r="I911" s="25"/>
    </row>
    <row r="912" ht="15.75" customHeight="1">
      <c r="B912" s="13"/>
      <c r="D912" s="16"/>
      <c r="E912" s="16"/>
      <c r="F912" s="19"/>
      <c r="G912" s="20"/>
      <c r="H912" s="24"/>
      <c r="I912" s="25"/>
    </row>
    <row r="913" ht="15.75" customHeight="1">
      <c r="B913" s="13"/>
      <c r="D913" s="16"/>
      <c r="E913" s="16"/>
      <c r="F913" s="19"/>
      <c r="G913" s="20"/>
      <c r="H913" s="24"/>
      <c r="I913" s="25"/>
    </row>
    <row r="914" ht="15.75" customHeight="1">
      <c r="B914" s="13"/>
      <c r="D914" s="16"/>
      <c r="E914" s="16"/>
      <c r="F914" s="19"/>
      <c r="G914" s="20"/>
      <c r="H914" s="24"/>
      <c r="I914" s="25"/>
    </row>
    <row r="915" ht="15.75" customHeight="1">
      <c r="B915" s="13"/>
      <c r="D915" s="16"/>
      <c r="E915" s="16"/>
      <c r="F915" s="19"/>
      <c r="G915" s="20"/>
      <c r="H915" s="24"/>
      <c r="I915" s="25"/>
    </row>
    <row r="916" ht="15.75" customHeight="1">
      <c r="B916" s="13"/>
      <c r="D916" s="16"/>
      <c r="E916" s="16"/>
      <c r="F916" s="19"/>
      <c r="G916" s="20"/>
      <c r="H916" s="24"/>
      <c r="I916" s="25"/>
    </row>
    <row r="917" ht="15.75" customHeight="1">
      <c r="B917" s="13"/>
      <c r="D917" s="16"/>
      <c r="E917" s="16"/>
      <c r="F917" s="19"/>
      <c r="G917" s="20"/>
      <c r="H917" s="24"/>
      <c r="I917" s="25"/>
    </row>
    <row r="918" ht="15.75" customHeight="1">
      <c r="B918" s="13"/>
      <c r="D918" s="16"/>
      <c r="E918" s="16"/>
      <c r="F918" s="19"/>
      <c r="G918" s="20"/>
      <c r="H918" s="24"/>
      <c r="I918" s="25"/>
    </row>
    <row r="919" ht="15.75" customHeight="1">
      <c r="B919" s="13"/>
      <c r="D919" s="16"/>
      <c r="E919" s="16"/>
      <c r="F919" s="19"/>
      <c r="G919" s="20"/>
      <c r="H919" s="24"/>
      <c r="I919" s="25"/>
    </row>
    <row r="920" ht="15.75" customHeight="1">
      <c r="B920" s="13"/>
      <c r="D920" s="16"/>
      <c r="E920" s="16"/>
      <c r="F920" s="19"/>
      <c r="G920" s="20"/>
      <c r="H920" s="24"/>
      <c r="I920" s="25"/>
    </row>
    <row r="921" ht="15.75" customHeight="1">
      <c r="B921" s="13"/>
      <c r="D921" s="16"/>
      <c r="E921" s="16"/>
      <c r="F921" s="19"/>
      <c r="G921" s="20"/>
      <c r="H921" s="24"/>
      <c r="I921" s="25"/>
    </row>
    <row r="922" ht="15.75" customHeight="1">
      <c r="B922" s="13"/>
      <c r="D922" s="16"/>
      <c r="E922" s="16"/>
      <c r="F922" s="19"/>
      <c r="G922" s="20"/>
      <c r="H922" s="24"/>
      <c r="I922" s="25"/>
    </row>
    <row r="923" ht="15.75" customHeight="1">
      <c r="B923" s="13"/>
      <c r="D923" s="16"/>
      <c r="E923" s="16"/>
      <c r="F923" s="19"/>
      <c r="G923" s="20"/>
      <c r="H923" s="24"/>
      <c r="I923" s="25"/>
    </row>
    <row r="924" ht="15.75" customHeight="1">
      <c r="B924" s="13"/>
      <c r="D924" s="16"/>
      <c r="E924" s="16"/>
      <c r="F924" s="19"/>
      <c r="G924" s="20"/>
      <c r="H924" s="24"/>
      <c r="I924" s="25"/>
    </row>
    <row r="925" ht="15.75" customHeight="1">
      <c r="B925" s="13"/>
      <c r="D925" s="16"/>
      <c r="E925" s="16"/>
      <c r="F925" s="19"/>
      <c r="G925" s="20"/>
      <c r="H925" s="24"/>
      <c r="I925" s="25"/>
    </row>
    <row r="926" ht="15.75" customHeight="1">
      <c r="B926" s="13"/>
      <c r="D926" s="16"/>
      <c r="E926" s="16"/>
      <c r="F926" s="19"/>
      <c r="G926" s="20"/>
      <c r="H926" s="24"/>
      <c r="I926" s="25"/>
    </row>
    <row r="927" ht="15.75" customHeight="1">
      <c r="B927" s="13"/>
      <c r="D927" s="16"/>
      <c r="E927" s="16"/>
      <c r="F927" s="19"/>
      <c r="G927" s="20"/>
      <c r="H927" s="24"/>
      <c r="I927" s="25"/>
    </row>
    <row r="928" ht="15.75" customHeight="1">
      <c r="B928" s="13"/>
      <c r="D928" s="16"/>
      <c r="E928" s="16"/>
      <c r="F928" s="19"/>
      <c r="G928" s="20"/>
      <c r="H928" s="24"/>
      <c r="I928" s="25"/>
    </row>
    <row r="929" ht="15.75" customHeight="1">
      <c r="B929" s="13"/>
      <c r="D929" s="16"/>
      <c r="E929" s="16"/>
      <c r="F929" s="19"/>
      <c r="G929" s="20"/>
      <c r="H929" s="24"/>
      <c r="I929" s="25"/>
    </row>
    <row r="930" ht="15.75" customHeight="1">
      <c r="B930" s="13"/>
      <c r="D930" s="16"/>
      <c r="E930" s="16"/>
      <c r="F930" s="19"/>
      <c r="G930" s="20"/>
      <c r="H930" s="24"/>
      <c r="I930" s="25"/>
    </row>
    <row r="931" ht="15.75" customHeight="1">
      <c r="B931" s="13"/>
      <c r="D931" s="16"/>
      <c r="E931" s="16"/>
      <c r="F931" s="19"/>
      <c r="G931" s="20"/>
      <c r="H931" s="24"/>
      <c r="I931" s="25"/>
    </row>
    <row r="932" ht="15.75" customHeight="1">
      <c r="B932" s="13"/>
      <c r="D932" s="16"/>
      <c r="E932" s="16"/>
      <c r="F932" s="19"/>
      <c r="G932" s="20"/>
      <c r="H932" s="24"/>
      <c r="I932" s="25"/>
    </row>
    <row r="933" ht="15.75" customHeight="1">
      <c r="B933" s="13"/>
      <c r="D933" s="16"/>
      <c r="E933" s="16"/>
      <c r="F933" s="19"/>
      <c r="G933" s="20"/>
      <c r="H933" s="24"/>
      <c r="I933" s="25"/>
    </row>
    <row r="934" ht="15.75" customHeight="1">
      <c r="B934" s="13"/>
      <c r="D934" s="16"/>
      <c r="E934" s="16"/>
      <c r="F934" s="19"/>
      <c r="G934" s="20"/>
      <c r="H934" s="24"/>
      <c r="I934" s="25"/>
    </row>
    <row r="935" ht="15.75" customHeight="1">
      <c r="B935" s="13"/>
      <c r="D935" s="16"/>
      <c r="E935" s="16"/>
      <c r="F935" s="19"/>
      <c r="G935" s="20"/>
      <c r="H935" s="24"/>
      <c r="I935" s="25"/>
    </row>
    <row r="936" ht="15.75" customHeight="1">
      <c r="B936" s="13"/>
      <c r="D936" s="16"/>
      <c r="E936" s="16"/>
      <c r="F936" s="19"/>
      <c r="G936" s="20"/>
      <c r="H936" s="24"/>
      <c r="I936" s="25"/>
    </row>
    <row r="937" ht="15.75" customHeight="1">
      <c r="B937" s="13"/>
      <c r="D937" s="16"/>
      <c r="E937" s="16"/>
      <c r="F937" s="19"/>
      <c r="G937" s="20"/>
      <c r="H937" s="24"/>
      <c r="I937" s="25"/>
    </row>
    <row r="938" ht="15.75" customHeight="1">
      <c r="B938" s="13"/>
      <c r="D938" s="16"/>
      <c r="E938" s="16"/>
      <c r="F938" s="19"/>
      <c r="G938" s="20"/>
      <c r="H938" s="24"/>
      <c r="I938" s="25"/>
    </row>
    <row r="939" ht="15.75" customHeight="1">
      <c r="B939" s="13"/>
      <c r="D939" s="16"/>
      <c r="E939" s="16"/>
      <c r="F939" s="19"/>
      <c r="G939" s="20"/>
      <c r="H939" s="24"/>
      <c r="I939" s="25"/>
    </row>
    <row r="940" ht="15.75" customHeight="1">
      <c r="B940" s="13"/>
      <c r="D940" s="16"/>
      <c r="E940" s="16"/>
      <c r="F940" s="19"/>
      <c r="G940" s="20"/>
      <c r="H940" s="24"/>
      <c r="I940" s="25"/>
    </row>
    <row r="941" ht="15.75" customHeight="1">
      <c r="B941" s="13"/>
      <c r="D941" s="16"/>
      <c r="E941" s="16"/>
      <c r="F941" s="19"/>
      <c r="G941" s="20"/>
      <c r="H941" s="24"/>
      <c r="I941" s="25"/>
    </row>
    <row r="942" ht="15.75" customHeight="1">
      <c r="B942" s="13"/>
      <c r="D942" s="16"/>
      <c r="E942" s="16"/>
      <c r="F942" s="19"/>
      <c r="G942" s="20"/>
      <c r="H942" s="24"/>
      <c r="I942" s="25"/>
    </row>
    <row r="943" ht="15.75" customHeight="1">
      <c r="B943" s="13"/>
      <c r="D943" s="16"/>
      <c r="E943" s="16"/>
      <c r="F943" s="19"/>
      <c r="G943" s="20"/>
      <c r="H943" s="24"/>
      <c r="I943" s="25"/>
    </row>
    <row r="944" ht="15.75" customHeight="1">
      <c r="B944" s="13"/>
      <c r="D944" s="16"/>
      <c r="E944" s="16"/>
      <c r="F944" s="19"/>
      <c r="G944" s="20"/>
      <c r="H944" s="24"/>
      <c r="I944" s="25"/>
    </row>
    <row r="945" ht="15.75" customHeight="1">
      <c r="B945" s="13"/>
      <c r="D945" s="16"/>
      <c r="E945" s="16"/>
      <c r="F945" s="19"/>
      <c r="G945" s="20"/>
      <c r="H945" s="24"/>
      <c r="I945" s="25"/>
    </row>
    <row r="946" ht="15.75" customHeight="1">
      <c r="B946" s="13"/>
      <c r="D946" s="16"/>
      <c r="E946" s="16"/>
      <c r="F946" s="19"/>
      <c r="G946" s="20"/>
      <c r="H946" s="24"/>
      <c r="I946" s="25"/>
    </row>
    <row r="947" ht="15.75" customHeight="1">
      <c r="B947" s="13"/>
      <c r="D947" s="16"/>
      <c r="E947" s="16"/>
      <c r="F947" s="19"/>
      <c r="G947" s="20"/>
      <c r="H947" s="24"/>
      <c r="I947" s="25"/>
    </row>
    <row r="948" ht="15.75" customHeight="1">
      <c r="B948" s="13"/>
      <c r="D948" s="16"/>
      <c r="E948" s="16"/>
      <c r="F948" s="19"/>
      <c r="G948" s="20"/>
      <c r="H948" s="24"/>
      <c r="I948" s="25"/>
    </row>
    <row r="949" ht="15.75" customHeight="1">
      <c r="B949" s="13"/>
      <c r="D949" s="16"/>
      <c r="E949" s="16"/>
      <c r="F949" s="19"/>
      <c r="G949" s="20"/>
      <c r="H949" s="24"/>
      <c r="I949" s="25"/>
    </row>
    <row r="950" ht="15.75" customHeight="1">
      <c r="B950" s="13"/>
      <c r="D950" s="16"/>
      <c r="E950" s="16"/>
      <c r="F950" s="19"/>
      <c r="G950" s="20"/>
      <c r="H950" s="24"/>
      <c r="I950" s="25"/>
    </row>
    <row r="951" ht="15.75" customHeight="1">
      <c r="B951" s="13"/>
      <c r="D951" s="16"/>
      <c r="E951" s="16"/>
      <c r="F951" s="19"/>
      <c r="G951" s="20"/>
      <c r="H951" s="24"/>
      <c r="I951" s="25"/>
    </row>
    <row r="952" ht="15.75" customHeight="1">
      <c r="B952" s="13"/>
      <c r="D952" s="16"/>
      <c r="E952" s="16"/>
      <c r="F952" s="19"/>
      <c r="G952" s="20"/>
      <c r="H952" s="24"/>
      <c r="I952" s="25"/>
    </row>
    <row r="953" ht="15.75" customHeight="1">
      <c r="B953" s="13"/>
      <c r="D953" s="16"/>
      <c r="E953" s="16"/>
      <c r="F953" s="19"/>
      <c r="G953" s="20"/>
      <c r="H953" s="24"/>
      <c r="I953" s="25"/>
    </row>
    <row r="954" ht="15.75" customHeight="1">
      <c r="B954" s="13"/>
      <c r="D954" s="16"/>
      <c r="E954" s="16"/>
      <c r="F954" s="19"/>
      <c r="G954" s="20"/>
      <c r="H954" s="24"/>
      <c r="I954" s="25"/>
    </row>
    <row r="955" ht="15.75" customHeight="1">
      <c r="B955" s="13"/>
      <c r="D955" s="16"/>
      <c r="E955" s="16"/>
      <c r="F955" s="19"/>
      <c r="G955" s="20"/>
      <c r="H955" s="24"/>
      <c r="I955" s="25"/>
    </row>
    <row r="956" ht="15.75" customHeight="1">
      <c r="B956" s="13"/>
      <c r="D956" s="16"/>
      <c r="E956" s="16"/>
      <c r="F956" s="19"/>
      <c r="G956" s="20"/>
      <c r="H956" s="24"/>
      <c r="I956" s="25"/>
    </row>
    <row r="957" ht="15.75" customHeight="1">
      <c r="B957" s="13"/>
      <c r="D957" s="16"/>
      <c r="E957" s="16"/>
      <c r="F957" s="19"/>
      <c r="G957" s="20"/>
      <c r="H957" s="24"/>
      <c r="I957" s="25"/>
    </row>
    <row r="958" ht="15.75" customHeight="1">
      <c r="B958" s="13"/>
      <c r="D958" s="16"/>
      <c r="E958" s="16"/>
      <c r="F958" s="19"/>
      <c r="G958" s="20"/>
      <c r="H958" s="24"/>
      <c r="I958" s="25"/>
    </row>
    <row r="959" ht="15.75" customHeight="1">
      <c r="B959" s="13"/>
      <c r="D959" s="16"/>
      <c r="E959" s="16"/>
      <c r="F959" s="19"/>
      <c r="G959" s="20"/>
      <c r="H959" s="24"/>
      <c r="I959" s="25"/>
    </row>
    <row r="960" ht="15.75" customHeight="1">
      <c r="B960" s="13"/>
      <c r="D960" s="16"/>
      <c r="E960" s="16"/>
      <c r="F960" s="19"/>
      <c r="G960" s="20"/>
      <c r="H960" s="24"/>
      <c r="I960" s="25"/>
    </row>
    <row r="961" ht="15.75" customHeight="1">
      <c r="B961" s="13"/>
      <c r="D961" s="16"/>
      <c r="E961" s="16"/>
      <c r="F961" s="19"/>
      <c r="G961" s="20"/>
      <c r="H961" s="24"/>
      <c r="I961" s="25"/>
    </row>
    <row r="962" ht="15.75" customHeight="1">
      <c r="B962" s="13"/>
      <c r="D962" s="16"/>
      <c r="E962" s="16"/>
      <c r="F962" s="19"/>
      <c r="G962" s="20"/>
      <c r="H962" s="24"/>
      <c r="I962" s="25"/>
    </row>
    <row r="963" ht="15.75" customHeight="1">
      <c r="B963" s="13"/>
      <c r="D963" s="16"/>
      <c r="E963" s="16"/>
      <c r="F963" s="19"/>
      <c r="G963" s="20"/>
      <c r="H963" s="24"/>
      <c r="I963" s="25"/>
    </row>
    <row r="964" ht="15.75" customHeight="1">
      <c r="B964" s="13"/>
      <c r="D964" s="16"/>
      <c r="E964" s="16"/>
      <c r="F964" s="19"/>
      <c r="G964" s="20"/>
      <c r="H964" s="24"/>
      <c r="I964" s="25"/>
    </row>
    <row r="965" ht="15.75" customHeight="1">
      <c r="B965" s="13"/>
      <c r="D965" s="16"/>
      <c r="E965" s="16"/>
      <c r="F965" s="19"/>
      <c r="G965" s="20"/>
      <c r="H965" s="24"/>
      <c r="I965" s="25"/>
    </row>
    <row r="966" ht="15.75" customHeight="1">
      <c r="B966" s="13"/>
      <c r="D966" s="16"/>
      <c r="E966" s="16"/>
      <c r="F966" s="19"/>
      <c r="G966" s="20"/>
      <c r="H966" s="24"/>
      <c r="I966" s="25"/>
    </row>
    <row r="967" ht="15.75" customHeight="1">
      <c r="B967" s="13"/>
      <c r="D967" s="16"/>
      <c r="E967" s="16"/>
      <c r="F967" s="19"/>
      <c r="G967" s="20"/>
      <c r="H967" s="24"/>
      <c r="I967" s="25"/>
    </row>
    <row r="968" ht="15.75" customHeight="1">
      <c r="B968" s="13"/>
      <c r="D968" s="16"/>
      <c r="E968" s="16"/>
      <c r="F968" s="19"/>
      <c r="G968" s="20"/>
      <c r="H968" s="24"/>
      <c r="I968" s="25"/>
    </row>
    <row r="969" ht="15.75" customHeight="1">
      <c r="B969" s="13"/>
      <c r="D969" s="16"/>
      <c r="E969" s="16"/>
      <c r="F969" s="19"/>
      <c r="G969" s="20"/>
      <c r="H969" s="24"/>
      <c r="I969" s="25"/>
    </row>
    <row r="970" ht="15.75" customHeight="1">
      <c r="B970" s="13"/>
      <c r="D970" s="16"/>
      <c r="E970" s="16"/>
      <c r="F970" s="19"/>
      <c r="G970" s="20"/>
      <c r="H970" s="24"/>
      <c r="I970" s="25"/>
    </row>
    <row r="971" ht="15.75" customHeight="1">
      <c r="B971" s="13"/>
      <c r="D971" s="16"/>
      <c r="E971" s="16"/>
      <c r="F971" s="19"/>
      <c r="G971" s="20"/>
      <c r="H971" s="24"/>
      <c r="I971" s="25"/>
    </row>
    <row r="972" ht="15.75" customHeight="1">
      <c r="B972" s="13"/>
      <c r="D972" s="16"/>
      <c r="E972" s="16"/>
      <c r="F972" s="19"/>
      <c r="G972" s="20"/>
      <c r="H972" s="24"/>
      <c r="I972" s="25"/>
    </row>
    <row r="973" ht="15.75" customHeight="1">
      <c r="B973" s="13"/>
      <c r="D973" s="16"/>
      <c r="E973" s="16"/>
      <c r="F973" s="19"/>
      <c r="G973" s="20"/>
      <c r="H973" s="24"/>
      <c r="I973" s="25"/>
    </row>
    <row r="974" ht="15.75" customHeight="1">
      <c r="B974" s="13"/>
      <c r="D974" s="16"/>
      <c r="E974" s="16"/>
      <c r="F974" s="19"/>
      <c r="G974" s="20"/>
      <c r="H974" s="24"/>
      <c r="I974" s="25"/>
    </row>
    <row r="975" ht="15.75" customHeight="1">
      <c r="B975" s="13"/>
      <c r="D975" s="16"/>
      <c r="E975" s="16"/>
      <c r="F975" s="19"/>
      <c r="G975" s="20"/>
      <c r="H975" s="24"/>
      <c r="I975" s="25"/>
    </row>
    <row r="976" ht="15.75" customHeight="1">
      <c r="B976" s="13"/>
      <c r="D976" s="16"/>
      <c r="E976" s="16"/>
      <c r="F976" s="19"/>
      <c r="G976" s="20"/>
      <c r="H976" s="24"/>
      <c r="I976" s="25"/>
    </row>
    <row r="977" ht="15.75" customHeight="1">
      <c r="B977" s="13"/>
      <c r="D977" s="16"/>
      <c r="E977" s="16"/>
      <c r="F977" s="19"/>
      <c r="G977" s="20"/>
      <c r="H977" s="24"/>
      <c r="I977" s="25"/>
    </row>
    <row r="978" ht="15.75" customHeight="1">
      <c r="B978" s="13"/>
      <c r="D978" s="16"/>
      <c r="E978" s="16"/>
      <c r="F978" s="19"/>
      <c r="G978" s="20"/>
      <c r="H978" s="24"/>
      <c r="I978" s="25"/>
    </row>
    <row r="979" ht="15.75" customHeight="1">
      <c r="B979" s="13"/>
      <c r="D979" s="16"/>
      <c r="E979" s="16"/>
      <c r="F979" s="19"/>
      <c r="G979" s="20"/>
      <c r="H979" s="24"/>
      <c r="I979" s="25"/>
    </row>
    <row r="980" ht="15.75" customHeight="1">
      <c r="B980" s="13"/>
      <c r="D980" s="16"/>
      <c r="E980" s="16"/>
      <c r="F980" s="19"/>
      <c r="G980" s="20"/>
      <c r="H980" s="24"/>
      <c r="I980" s="25"/>
    </row>
    <row r="981" ht="15.75" customHeight="1">
      <c r="B981" s="13"/>
      <c r="D981" s="16"/>
      <c r="E981" s="16"/>
      <c r="F981" s="19"/>
      <c r="G981" s="20"/>
      <c r="H981" s="24"/>
      <c r="I981" s="25"/>
    </row>
    <row r="982" ht="15.75" customHeight="1">
      <c r="B982" s="13"/>
      <c r="D982" s="16"/>
      <c r="E982" s="16"/>
      <c r="F982" s="19"/>
      <c r="G982" s="20"/>
      <c r="H982" s="24"/>
      <c r="I982" s="25"/>
    </row>
    <row r="983" ht="15.75" customHeight="1">
      <c r="B983" s="13"/>
      <c r="D983" s="16"/>
      <c r="E983" s="16"/>
      <c r="F983" s="19"/>
      <c r="G983" s="20"/>
      <c r="H983" s="24"/>
      <c r="I983" s="25"/>
    </row>
    <row r="984" ht="15.75" customHeight="1">
      <c r="B984" s="13"/>
      <c r="D984" s="16"/>
      <c r="E984" s="16"/>
      <c r="F984" s="19"/>
      <c r="G984" s="20"/>
      <c r="H984" s="24"/>
      <c r="I984" s="25"/>
    </row>
    <row r="985" ht="15.75" customHeight="1">
      <c r="B985" s="13"/>
      <c r="D985" s="16"/>
      <c r="E985" s="16"/>
      <c r="F985" s="19"/>
      <c r="G985" s="20"/>
      <c r="H985" s="24"/>
      <c r="I985" s="25"/>
    </row>
    <row r="986" ht="15.75" customHeight="1">
      <c r="B986" s="13"/>
      <c r="D986" s="16"/>
      <c r="E986" s="16"/>
      <c r="F986" s="19"/>
      <c r="G986" s="20"/>
      <c r="H986" s="24"/>
      <c r="I986" s="25"/>
    </row>
    <row r="987" ht="15.75" customHeight="1">
      <c r="B987" s="13"/>
      <c r="D987" s="16"/>
      <c r="E987" s="16"/>
      <c r="F987" s="19"/>
      <c r="G987" s="20"/>
      <c r="H987" s="24"/>
      <c r="I987" s="25"/>
    </row>
    <row r="988" ht="15.75" customHeight="1">
      <c r="B988" s="13"/>
      <c r="D988" s="16"/>
      <c r="E988" s="16"/>
      <c r="F988" s="19"/>
      <c r="G988" s="20"/>
      <c r="H988" s="24"/>
      <c r="I988" s="25"/>
    </row>
    <row r="989" ht="15.75" customHeight="1">
      <c r="B989" s="13"/>
      <c r="D989" s="16"/>
      <c r="E989" s="16"/>
      <c r="F989" s="19"/>
      <c r="G989" s="20"/>
      <c r="H989" s="24"/>
      <c r="I989" s="25"/>
    </row>
    <row r="990" ht="15.75" customHeight="1">
      <c r="B990" s="13"/>
      <c r="D990" s="16"/>
      <c r="E990" s="16"/>
      <c r="F990" s="19"/>
      <c r="G990" s="20"/>
      <c r="H990" s="24"/>
      <c r="I990" s="25"/>
    </row>
    <row r="991" ht="15.75" customHeight="1">
      <c r="B991" s="13"/>
      <c r="D991" s="16"/>
      <c r="E991" s="16"/>
      <c r="F991" s="19"/>
      <c r="G991" s="20"/>
      <c r="H991" s="24"/>
      <c r="I991" s="25"/>
    </row>
    <row r="992" ht="15.75" customHeight="1">
      <c r="B992" s="13"/>
      <c r="D992" s="16"/>
      <c r="E992" s="16"/>
      <c r="F992" s="19"/>
      <c r="G992" s="20"/>
      <c r="H992" s="24"/>
      <c r="I992" s="25"/>
    </row>
    <row r="993" ht="15.75" customHeight="1">
      <c r="B993" s="13"/>
      <c r="D993" s="16"/>
      <c r="E993" s="16"/>
      <c r="F993" s="19"/>
      <c r="G993" s="20"/>
      <c r="H993" s="24"/>
      <c r="I993" s="25"/>
    </row>
    <row r="994" ht="15.75" customHeight="1">
      <c r="B994" s="13"/>
      <c r="D994" s="16"/>
      <c r="E994" s="16"/>
      <c r="F994" s="19"/>
      <c r="G994" s="20"/>
      <c r="H994" s="24"/>
      <c r="I994" s="25"/>
    </row>
    <row r="995" ht="15.75" customHeight="1">
      <c r="B995" s="13"/>
      <c r="D995" s="16"/>
      <c r="E995" s="16"/>
      <c r="F995" s="19"/>
      <c r="G995" s="20"/>
      <c r="H995" s="24"/>
      <c r="I995" s="25"/>
    </row>
    <row r="996" ht="15.75" customHeight="1">
      <c r="B996" s="13"/>
      <c r="D996" s="16"/>
      <c r="E996" s="16"/>
      <c r="F996" s="19"/>
      <c r="G996" s="20"/>
      <c r="H996" s="24"/>
      <c r="I996" s="25"/>
    </row>
    <row r="997" ht="15.75" customHeight="1">
      <c r="B997" s="13"/>
      <c r="D997" s="16"/>
      <c r="E997" s="16"/>
      <c r="F997" s="19"/>
      <c r="G997" s="20"/>
      <c r="H997" s="24"/>
      <c r="I997" s="25"/>
    </row>
    <row r="998" ht="15.75" customHeight="1">
      <c r="B998" s="13"/>
      <c r="D998" s="16"/>
      <c r="E998" s="16"/>
      <c r="F998" s="19"/>
      <c r="G998" s="20"/>
      <c r="H998" s="24"/>
      <c r="I998" s="25"/>
    </row>
    <row r="999" ht="15.75" customHeight="1">
      <c r="B999" s="13"/>
      <c r="D999" s="16"/>
      <c r="E999" s="16"/>
      <c r="F999" s="19"/>
      <c r="G999" s="20"/>
      <c r="H999" s="24"/>
      <c r="I999" s="25"/>
    </row>
    <row r="1000" ht="15.75" customHeight="1">
      <c r="B1000" s="13"/>
      <c r="D1000" s="16"/>
      <c r="E1000" s="16"/>
      <c r="F1000" s="19"/>
      <c r="G1000" s="20"/>
      <c r="H1000" s="24"/>
      <c r="I1000" s="2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8.71"/>
    <col customWidth="1" min="3" max="3" width="15.71"/>
    <col customWidth="1" min="4" max="4" width="12.71"/>
    <col customWidth="1" min="5" max="5" width="14.86"/>
    <col customWidth="1" min="6" max="6" width="15.71"/>
    <col customWidth="1" min="7" max="7" width="15.0"/>
    <col customWidth="1" min="8" max="8" width="18.43"/>
    <col customWidth="1" min="9" max="9" width="15.43"/>
    <col customWidth="1" min="10" max="10" width="14.57"/>
    <col customWidth="1" min="11" max="11" width="8.71"/>
    <col customWidth="1" min="12" max="13" width="18.71"/>
    <col customWidth="1" min="14" max="14" width="8.71"/>
    <col customWidth="1" min="15" max="15" width="20.0"/>
    <col customWidth="1" min="16" max="18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L1" s="9" t="s">
        <v>10</v>
      </c>
      <c r="M1" s="10" t="s">
        <v>11</v>
      </c>
      <c r="O1" s="11" t="s">
        <v>12</v>
      </c>
    </row>
    <row r="2">
      <c r="A2" s="12">
        <v>1.25</v>
      </c>
      <c r="B2" s="13">
        <v>1.0</v>
      </c>
      <c r="C2" s="22">
        <v>2.0</v>
      </c>
      <c r="D2" s="15">
        <v>100.0</v>
      </c>
      <c r="E2" s="16" t="str">
        <f t="shared" ref="E2:E100" si="1">TEXT((D2/C2)/86400, "[h]"" h ""mm"" min ""ss"" s""")
</f>
        <v>0 h 00 min 50 s</v>
      </c>
      <c r="F2" s="17">
        <v>70.0</v>
      </c>
      <c r="G2" s="18">
        <v>35.0</v>
      </c>
      <c r="H2" s="19" t="str">
        <f t="shared" ref="H2:H100" si="3">TEXT((F2/C2)/86400, "[h]"" h ""mm"" min ""ss"" s""")
</f>
        <v>0 h 00 min 35 s</v>
      </c>
      <c r="I2" s="20" t="str">
        <f t="shared" ref="I2:I100" si="4">TEXT((G2/C2)/86400, "[h]"" h ""mm"" min ""ss"" s""")
</f>
        <v>0 h 00 min 18 s</v>
      </c>
      <c r="J2" s="14" t="str">
        <f t="shared" ref="J2:J31" si="5">TEXT((M2)/86400, "[h]"" h ""mm"" min ""ss"" s""")</f>
        <v>0 h 00 min 35 s</v>
      </c>
      <c r="L2" s="21">
        <f t="shared" ref="L2:L100" si="6">F2/C2</f>
        <v>35</v>
      </c>
      <c r="M2" s="21">
        <f>L2</f>
        <v>35</v>
      </c>
      <c r="O2" s="22">
        <v>3.0</v>
      </c>
    </row>
    <row r="3">
      <c r="B3" s="13">
        <v>2.0</v>
      </c>
      <c r="C3" s="16">
        <f t="shared" ref="C3:C100" si="7">C2*$A$2</f>
        <v>2.5</v>
      </c>
      <c r="D3" s="16">
        <f t="shared" ref="D3:D100" si="8">D2*$A$5</f>
        <v>130</v>
      </c>
      <c r="E3" s="16" t="str">
        <f t="shared" si="1"/>
        <v>0 h 00 min 52 s</v>
      </c>
      <c r="F3" s="19">
        <f t="shared" ref="F3:G3" si="2">F2*$A$8</f>
        <v>105</v>
      </c>
      <c r="G3" s="20">
        <f t="shared" si="2"/>
        <v>52.5</v>
      </c>
      <c r="H3" s="19" t="str">
        <f t="shared" si="3"/>
        <v>0 h 00 min 42 s</v>
      </c>
      <c r="I3" s="20" t="str">
        <f t="shared" si="4"/>
        <v>0 h 00 min 21 s</v>
      </c>
      <c r="J3" s="14" t="str">
        <f t="shared" si="5"/>
        <v>0 h 01 min 17 s</v>
      </c>
      <c r="L3" s="21">
        <f t="shared" si="6"/>
        <v>42</v>
      </c>
      <c r="M3" s="21">
        <f t="shared" ref="M3:M100" si="10">M2+L3</f>
        <v>77</v>
      </c>
      <c r="O3" s="23">
        <f t="shared" ref="O3:O100" si="11">O2*A$11</f>
        <v>4.5</v>
      </c>
    </row>
    <row r="4">
      <c r="A4" s="1" t="s">
        <v>13</v>
      </c>
      <c r="B4" s="13">
        <v>3.0</v>
      </c>
      <c r="C4" s="16">
        <f t="shared" si="7"/>
        <v>3.125</v>
      </c>
      <c r="D4" s="16">
        <f t="shared" si="8"/>
        <v>169</v>
      </c>
      <c r="E4" s="16" t="str">
        <f t="shared" si="1"/>
        <v>0 h 00 min 54 s</v>
      </c>
      <c r="F4" s="19">
        <f t="shared" ref="F4:G4" si="9">F3*$A$8</f>
        <v>157.5</v>
      </c>
      <c r="G4" s="20">
        <f t="shared" si="9"/>
        <v>78.75</v>
      </c>
      <c r="H4" s="19" t="str">
        <f t="shared" si="3"/>
        <v>0 h 00 min 50 s</v>
      </c>
      <c r="I4" s="20" t="str">
        <f t="shared" si="4"/>
        <v>0 h 00 min 25 s</v>
      </c>
      <c r="J4" s="14" t="str">
        <f t="shared" si="5"/>
        <v>0 h 02 min 07 s</v>
      </c>
      <c r="L4" s="21">
        <f t="shared" si="6"/>
        <v>50.4</v>
      </c>
      <c r="M4" s="21">
        <f t="shared" si="10"/>
        <v>127.4</v>
      </c>
      <c r="O4" s="23">
        <f t="shared" si="11"/>
        <v>6.75</v>
      </c>
    </row>
    <row r="5">
      <c r="A5" s="12">
        <v>1.3</v>
      </c>
      <c r="B5" s="13">
        <v>4.0</v>
      </c>
      <c r="C5" s="16">
        <f t="shared" si="7"/>
        <v>3.90625</v>
      </c>
      <c r="D5" s="16">
        <f t="shared" si="8"/>
        <v>219.7</v>
      </c>
      <c r="E5" s="16" t="str">
        <f t="shared" si="1"/>
        <v>0 h 00 min 56 s</v>
      </c>
      <c r="F5" s="19">
        <f t="shared" ref="F5:G5" si="12">F4*$A$8</f>
        <v>236.25</v>
      </c>
      <c r="G5" s="20">
        <f t="shared" si="12"/>
        <v>118.125</v>
      </c>
      <c r="H5" s="19" t="str">
        <f t="shared" si="3"/>
        <v>0 h 01 min 00 s</v>
      </c>
      <c r="I5" s="20" t="str">
        <f t="shared" si="4"/>
        <v>0 h 00 min 30 s</v>
      </c>
      <c r="J5" s="14" t="str">
        <f t="shared" si="5"/>
        <v>0 h 03 min 08 s</v>
      </c>
      <c r="L5" s="21">
        <f t="shared" si="6"/>
        <v>60.48</v>
      </c>
      <c r="M5" s="21">
        <f t="shared" si="10"/>
        <v>187.88</v>
      </c>
      <c r="O5" s="23">
        <f t="shared" si="11"/>
        <v>10.125</v>
      </c>
    </row>
    <row r="6">
      <c r="B6" s="13">
        <v>5.0</v>
      </c>
      <c r="C6" s="16">
        <f t="shared" si="7"/>
        <v>4.8828125</v>
      </c>
      <c r="D6" s="16">
        <f t="shared" si="8"/>
        <v>285.61</v>
      </c>
      <c r="E6" s="16" t="str">
        <f t="shared" si="1"/>
        <v>0 h 00 min 58 s</v>
      </c>
      <c r="F6" s="19">
        <f t="shared" ref="F6:G6" si="13">F5*$A$8</f>
        <v>354.375</v>
      </c>
      <c r="G6" s="20">
        <f t="shared" si="13"/>
        <v>177.1875</v>
      </c>
      <c r="H6" s="19" t="str">
        <f t="shared" si="3"/>
        <v>0 h 01 min 13 s</v>
      </c>
      <c r="I6" s="20" t="str">
        <f t="shared" si="4"/>
        <v>0 h 00 min 36 s</v>
      </c>
      <c r="J6" s="14" t="str">
        <f t="shared" si="5"/>
        <v>0 h 04 min 20 s</v>
      </c>
      <c r="L6" s="21">
        <f t="shared" si="6"/>
        <v>72.576</v>
      </c>
      <c r="M6" s="21">
        <f t="shared" si="10"/>
        <v>260.456</v>
      </c>
      <c r="O6" s="23">
        <f t="shared" si="11"/>
        <v>15.1875</v>
      </c>
    </row>
    <row r="7">
      <c r="A7" s="1" t="s">
        <v>14</v>
      </c>
      <c r="B7" s="13">
        <v>6.0</v>
      </c>
      <c r="C7" s="16">
        <f t="shared" si="7"/>
        <v>6.103515625</v>
      </c>
      <c r="D7" s="16">
        <f t="shared" si="8"/>
        <v>371.293</v>
      </c>
      <c r="E7" s="16" t="str">
        <f t="shared" si="1"/>
        <v>0 h 01 min 01 s</v>
      </c>
      <c r="F7" s="19">
        <f t="shared" ref="F7:G7" si="14">F6*$A$8</f>
        <v>531.5625</v>
      </c>
      <c r="G7" s="20">
        <f t="shared" si="14"/>
        <v>265.78125</v>
      </c>
      <c r="H7" s="19" t="str">
        <f t="shared" si="3"/>
        <v>0 h 01 min 27 s</v>
      </c>
      <c r="I7" s="20" t="str">
        <f t="shared" si="4"/>
        <v>0 h 00 min 44 s</v>
      </c>
      <c r="J7" s="14" t="str">
        <f t="shared" si="5"/>
        <v>0 h 05 min 48 s</v>
      </c>
      <c r="L7" s="21">
        <f t="shared" si="6"/>
        <v>87.0912</v>
      </c>
      <c r="M7" s="21">
        <f t="shared" si="10"/>
        <v>347.5472</v>
      </c>
      <c r="O7" s="23">
        <f t="shared" si="11"/>
        <v>22.78125</v>
      </c>
    </row>
    <row r="8">
      <c r="A8" s="12">
        <v>1.5</v>
      </c>
      <c r="B8" s="13">
        <v>7.0</v>
      </c>
      <c r="C8" s="16">
        <f t="shared" si="7"/>
        <v>7.629394531</v>
      </c>
      <c r="D8" s="16">
        <f t="shared" si="8"/>
        <v>482.6809</v>
      </c>
      <c r="E8" s="16" t="str">
        <f t="shared" si="1"/>
        <v>0 h 01 min 03 s</v>
      </c>
      <c r="F8" s="19">
        <f t="shared" ref="F8:G8" si="15">F7*$A$8</f>
        <v>797.34375</v>
      </c>
      <c r="G8" s="20">
        <f t="shared" si="15"/>
        <v>398.671875</v>
      </c>
      <c r="H8" s="19" t="str">
        <f t="shared" si="3"/>
        <v>0 h 01 min 45 s</v>
      </c>
      <c r="I8" s="20" t="str">
        <f t="shared" si="4"/>
        <v>0 h 00 min 52 s</v>
      </c>
      <c r="J8" s="14" t="str">
        <f t="shared" si="5"/>
        <v>0 h 07 min 32 s</v>
      </c>
      <c r="L8" s="21">
        <f t="shared" si="6"/>
        <v>104.50944</v>
      </c>
      <c r="M8" s="21">
        <f t="shared" si="10"/>
        <v>452.05664</v>
      </c>
      <c r="O8" s="23">
        <f t="shared" si="11"/>
        <v>34.171875</v>
      </c>
    </row>
    <row r="9">
      <c r="B9" s="13">
        <v>8.0</v>
      </c>
      <c r="C9" s="16">
        <f t="shared" si="7"/>
        <v>9.536743164</v>
      </c>
      <c r="D9" s="16">
        <f t="shared" si="8"/>
        <v>627.48517</v>
      </c>
      <c r="E9" s="16" t="str">
        <f t="shared" si="1"/>
        <v>0 h 01 min 06 s</v>
      </c>
      <c r="F9" s="19">
        <f t="shared" ref="F9:G9" si="16">F8*$A$8</f>
        <v>1196.015625</v>
      </c>
      <c r="G9" s="20">
        <f t="shared" si="16"/>
        <v>598.0078125</v>
      </c>
      <c r="H9" s="19" t="str">
        <f t="shared" si="3"/>
        <v>0 h 02 min 05 s</v>
      </c>
      <c r="I9" s="20" t="str">
        <f t="shared" si="4"/>
        <v>0 h 01 min 03 s</v>
      </c>
      <c r="J9" s="14" t="str">
        <f t="shared" si="5"/>
        <v>0 h 09 min 37 s</v>
      </c>
      <c r="L9" s="21">
        <f t="shared" si="6"/>
        <v>125.411328</v>
      </c>
      <c r="M9" s="21">
        <f t="shared" si="10"/>
        <v>577.467968</v>
      </c>
      <c r="O9" s="23">
        <f t="shared" si="11"/>
        <v>51.2578125</v>
      </c>
    </row>
    <row r="10">
      <c r="A10" s="1" t="s">
        <v>15</v>
      </c>
      <c r="B10" s="13">
        <v>9.0</v>
      </c>
      <c r="C10" s="16">
        <f t="shared" si="7"/>
        <v>11.92092896</v>
      </c>
      <c r="D10" s="16">
        <f t="shared" si="8"/>
        <v>815.730721</v>
      </c>
      <c r="E10" s="16" t="str">
        <f t="shared" si="1"/>
        <v>0 h 01 min 08 s</v>
      </c>
      <c r="F10" s="19">
        <f t="shared" ref="F10:G10" si="17">F9*$A$8</f>
        <v>1794.023438</v>
      </c>
      <c r="G10" s="20">
        <f t="shared" si="17"/>
        <v>897.0117188</v>
      </c>
      <c r="H10" s="19" t="str">
        <f t="shared" si="3"/>
        <v>0 h 02 min 30 s</v>
      </c>
      <c r="I10" s="20" t="str">
        <f t="shared" si="4"/>
        <v>0 h 01 min 15 s</v>
      </c>
      <c r="J10" s="14" t="str">
        <f t="shared" si="5"/>
        <v>0 h 12 min 08 s</v>
      </c>
      <c r="L10" s="21">
        <f t="shared" si="6"/>
        <v>150.4935936</v>
      </c>
      <c r="M10" s="21">
        <f t="shared" si="10"/>
        <v>727.9615616</v>
      </c>
      <c r="O10" s="23">
        <f t="shared" si="11"/>
        <v>76.88671875</v>
      </c>
    </row>
    <row r="11">
      <c r="A11" s="12">
        <v>1.5</v>
      </c>
      <c r="B11" s="13">
        <v>10.0</v>
      </c>
      <c r="C11" s="16">
        <f t="shared" si="7"/>
        <v>14.90116119</v>
      </c>
      <c r="D11" s="16">
        <f t="shared" si="8"/>
        <v>1060.449937</v>
      </c>
      <c r="E11" s="16" t="str">
        <f t="shared" si="1"/>
        <v>0 h 01 min 11 s</v>
      </c>
      <c r="F11" s="19">
        <f t="shared" ref="F11:G11" si="18">F10*$A$8</f>
        <v>2691.035156</v>
      </c>
      <c r="G11" s="20">
        <f t="shared" si="18"/>
        <v>1345.517578</v>
      </c>
      <c r="H11" s="19" t="str">
        <f t="shared" si="3"/>
        <v>0 h 03 min 01 s</v>
      </c>
      <c r="I11" s="20" t="str">
        <f t="shared" si="4"/>
        <v>0 h 01 min 30 s</v>
      </c>
      <c r="J11" s="14" t="str">
        <f t="shared" si="5"/>
        <v>0 h 15 min 09 s</v>
      </c>
      <c r="L11" s="21">
        <f t="shared" si="6"/>
        <v>180.5923123</v>
      </c>
      <c r="M11" s="21">
        <f t="shared" si="10"/>
        <v>908.5538739</v>
      </c>
      <c r="O11" s="23">
        <f t="shared" si="11"/>
        <v>115.3300781</v>
      </c>
    </row>
    <row r="12">
      <c r="B12" s="13">
        <v>11.0</v>
      </c>
      <c r="C12" s="16">
        <f t="shared" si="7"/>
        <v>18.62645149</v>
      </c>
      <c r="D12" s="16">
        <f t="shared" si="8"/>
        <v>1378.584918</v>
      </c>
      <c r="E12" s="16" t="str">
        <f t="shared" si="1"/>
        <v>0 h 01 min 14 s</v>
      </c>
      <c r="F12" s="19">
        <f t="shared" ref="F12:G12" si="19">F11*$A$8</f>
        <v>4036.552734</v>
      </c>
      <c r="G12" s="20">
        <f t="shared" si="19"/>
        <v>2018.276367</v>
      </c>
      <c r="H12" s="19" t="str">
        <f t="shared" si="3"/>
        <v>0 h 03 min 37 s</v>
      </c>
      <c r="I12" s="20" t="str">
        <f t="shared" si="4"/>
        <v>0 h 01 min 48 s</v>
      </c>
      <c r="J12" s="14" t="str">
        <f t="shared" si="5"/>
        <v>0 h 18 min 45 s</v>
      </c>
      <c r="L12" s="21">
        <f t="shared" si="6"/>
        <v>216.7107748</v>
      </c>
      <c r="M12" s="21">
        <f t="shared" si="10"/>
        <v>1125.264649</v>
      </c>
      <c r="O12" s="23">
        <f t="shared" si="11"/>
        <v>172.9951172</v>
      </c>
    </row>
    <row r="13">
      <c r="B13" s="13">
        <v>12.0</v>
      </c>
      <c r="C13" s="16">
        <f t="shared" si="7"/>
        <v>23.28306437</v>
      </c>
      <c r="D13" s="16">
        <f t="shared" si="8"/>
        <v>1792.160394</v>
      </c>
      <c r="E13" s="16" t="str">
        <f t="shared" si="1"/>
        <v>0 h 01 min 17 s</v>
      </c>
      <c r="F13" s="19">
        <f t="shared" ref="F13:G13" si="20">F12*$A$8</f>
        <v>6054.829102</v>
      </c>
      <c r="G13" s="20">
        <f t="shared" si="20"/>
        <v>3027.414551</v>
      </c>
      <c r="H13" s="19" t="str">
        <f t="shared" si="3"/>
        <v>0 h 04 min 20 s</v>
      </c>
      <c r="I13" s="20" t="str">
        <f t="shared" si="4"/>
        <v>0 h 02 min 10 s</v>
      </c>
      <c r="J13" s="14" t="str">
        <f t="shared" si="5"/>
        <v>0 h 23 min 05 s</v>
      </c>
      <c r="L13" s="21">
        <f t="shared" si="6"/>
        <v>260.0529297</v>
      </c>
      <c r="M13" s="21">
        <f t="shared" si="10"/>
        <v>1385.317578</v>
      </c>
      <c r="O13" s="23">
        <f t="shared" si="11"/>
        <v>259.4926758</v>
      </c>
    </row>
    <row r="14">
      <c r="B14" s="13">
        <v>13.0</v>
      </c>
      <c r="C14" s="16">
        <f t="shared" si="7"/>
        <v>29.10383046</v>
      </c>
      <c r="D14" s="16">
        <f t="shared" si="8"/>
        <v>2329.808512</v>
      </c>
      <c r="E14" s="16" t="str">
        <f t="shared" si="1"/>
        <v>0 h 01 min 20 s</v>
      </c>
      <c r="F14" s="19">
        <f t="shared" ref="F14:G14" si="21">F13*$A$8</f>
        <v>9082.243652</v>
      </c>
      <c r="G14" s="20">
        <f t="shared" si="21"/>
        <v>4541.121826</v>
      </c>
      <c r="H14" s="19" t="str">
        <f t="shared" si="3"/>
        <v>0 h 05 min 12 s</v>
      </c>
      <c r="I14" s="20" t="str">
        <f t="shared" si="4"/>
        <v>0 h 02 min 36 s</v>
      </c>
      <c r="J14" s="14" t="str">
        <f t="shared" si="5"/>
        <v>0 h 28 min 17 s</v>
      </c>
      <c r="L14" s="21">
        <f t="shared" si="6"/>
        <v>312.0635157</v>
      </c>
      <c r="M14" s="21">
        <f t="shared" si="10"/>
        <v>1697.381094</v>
      </c>
      <c r="O14" s="23">
        <f t="shared" si="11"/>
        <v>389.2390137</v>
      </c>
    </row>
    <row r="15">
      <c r="B15" s="13">
        <v>14.0</v>
      </c>
      <c r="C15" s="16">
        <f t="shared" si="7"/>
        <v>36.37978807</v>
      </c>
      <c r="D15" s="16">
        <f t="shared" si="8"/>
        <v>3028.751066</v>
      </c>
      <c r="E15" s="16" t="str">
        <f t="shared" si="1"/>
        <v>0 h 01 min 23 s</v>
      </c>
      <c r="F15" s="19">
        <f t="shared" ref="F15:G15" si="22">F14*$A$8</f>
        <v>13623.36548</v>
      </c>
      <c r="G15" s="20">
        <f t="shared" si="22"/>
        <v>6811.682739</v>
      </c>
      <c r="H15" s="19" t="str">
        <f t="shared" si="3"/>
        <v>0 h 06 min 14 s</v>
      </c>
      <c r="I15" s="20" t="str">
        <f t="shared" si="4"/>
        <v>0 h 03 min 07 s</v>
      </c>
      <c r="J15" s="14" t="str">
        <f t="shared" si="5"/>
        <v>0 h 34 min 32 s</v>
      </c>
      <c r="L15" s="21">
        <f t="shared" si="6"/>
        <v>374.4762188</v>
      </c>
      <c r="M15" s="21">
        <f t="shared" si="10"/>
        <v>2071.857313</v>
      </c>
      <c r="O15" s="23">
        <f t="shared" si="11"/>
        <v>583.8585205</v>
      </c>
    </row>
    <row r="16">
      <c r="B16" s="13">
        <v>15.0</v>
      </c>
      <c r="C16" s="16">
        <f t="shared" si="7"/>
        <v>45.47473509</v>
      </c>
      <c r="D16" s="16">
        <f t="shared" si="8"/>
        <v>3937.376386</v>
      </c>
      <c r="E16" s="16" t="str">
        <f t="shared" si="1"/>
        <v>0 h 01 min 27 s</v>
      </c>
      <c r="F16" s="19">
        <f t="shared" ref="F16:G16" si="23">F15*$A$8</f>
        <v>20435.04822</v>
      </c>
      <c r="G16" s="20">
        <f t="shared" si="23"/>
        <v>10217.52411</v>
      </c>
      <c r="H16" s="19" t="str">
        <f t="shared" si="3"/>
        <v>0 h 07 min 29 s</v>
      </c>
      <c r="I16" s="20" t="str">
        <f t="shared" si="4"/>
        <v>0 h 03 min 45 s</v>
      </c>
      <c r="J16" s="14" t="str">
        <f t="shared" si="5"/>
        <v>0 h 42 min 01 s</v>
      </c>
      <c r="L16" s="21">
        <f t="shared" si="6"/>
        <v>449.3714626</v>
      </c>
      <c r="M16" s="21">
        <f t="shared" si="10"/>
        <v>2521.228776</v>
      </c>
      <c r="O16" s="23">
        <f t="shared" si="11"/>
        <v>875.7877808</v>
      </c>
    </row>
    <row r="17">
      <c r="B17" s="13">
        <v>16.0</v>
      </c>
      <c r="C17" s="16">
        <f t="shared" si="7"/>
        <v>56.84341886</v>
      </c>
      <c r="D17" s="16">
        <f t="shared" si="8"/>
        <v>5118.589301</v>
      </c>
      <c r="E17" s="16" t="str">
        <f t="shared" si="1"/>
        <v>0 h 01 min 30 s</v>
      </c>
      <c r="F17" s="19">
        <f t="shared" ref="F17:G17" si="24">F16*$A$8</f>
        <v>30652.57233</v>
      </c>
      <c r="G17" s="20">
        <f t="shared" si="24"/>
        <v>15326.28616</v>
      </c>
      <c r="H17" s="19" t="str">
        <f t="shared" si="3"/>
        <v>0 h 08 min 59 s</v>
      </c>
      <c r="I17" s="20" t="str">
        <f t="shared" si="4"/>
        <v>0 h 04 min 30 s</v>
      </c>
      <c r="J17" s="14" t="str">
        <f t="shared" si="5"/>
        <v>0 h 51 min 00 s</v>
      </c>
      <c r="L17" s="21">
        <f t="shared" si="6"/>
        <v>539.2457551</v>
      </c>
      <c r="M17" s="21">
        <f t="shared" si="10"/>
        <v>3060.474531</v>
      </c>
      <c r="O17" s="23">
        <f t="shared" si="11"/>
        <v>1313.681671</v>
      </c>
    </row>
    <row r="18">
      <c r="B18" s="13">
        <v>17.0</v>
      </c>
      <c r="C18" s="16">
        <f t="shared" si="7"/>
        <v>71.05427358</v>
      </c>
      <c r="D18" s="16">
        <f t="shared" si="8"/>
        <v>6654.166092</v>
      </c>
      <c r="E18" s="16" t="str">
        <f t="shared" si="1"/>
        <v>0 h 01 min 34 s</v>
      </c>
      <c r="F18" s="19">
        <f t="shared" ref="F18:G18" si="25">F17*$A$8</f>
        <v>45978.85849</v>
      </c>
      <c r="G18" s="20">
        <f t="shared" si="25"/>
        <v>22989.42924</v>
      </c>
      <c r="H18" s="19" t="str">
        <f t="shared" si="3"/>
        <v>0 h 10 min 47 s</v>
      </c>
      <c r="I18" s="20" t="str">
        <f t="shared" si="4"/>
        <v>0 h 05 min 24 s</v>
      </c>
      <c r="J18" s="14" t="str">
        <f t="shared" si="5"/>
        <v>1 h 01 min 48 s</v>
      </c>
      <c r="L18" s="21">
        <f t="shared" si="6"/>
        <v>647.0949061</v>
      </c>
      <c r="M18" s="21">
        <f t="shared" si="10"/>
        <v>3707.569437</v>
      </c>
      <c r="O18" s="23">
        <f t="shared" si="11"/>
        <v>1970.522507</v>
      </c>
    </row>
    <row r="19">
      <c r="B19" s="13">
        <v>18.0</v>
      </c>
      <c r="C19" s="16">
        <f t="shared" si="7"/>
        <v>88.81784197</v>
      </c>
      <c r="D19" s="16">
        <f t="shared" si="8"/>
        <v>8650.415919</v>
      </c>
      <c r="E19" s="16" t="str">
        <f t="shared" si="1"/>
        <v>0 h 01 min 37 s</v>
      </c>
      <c r="F19" s="19">
        <f t="shared" ref="F19:G19" si="26">F18*$A$8</f>
        <v>68968.28773</v>
      </c>
      <c r="G19" s="20">
        <f t="shared" si="26"/>
        <v>34484.14387</v>
      </c>
      <c r="H19" s="19" t="str">
        <f t="shared" si="3"/>
        <v>0 h 12 min 57 s</v>
      </c>
      <c r="I19" s="20" t="str">
        <f t="shared" si="4"/>
        <v>0 h 06 min 28 s</v>
      </c>
      <c r="J19" s="14" t="str">
        <f t="shared" si="5"/>
        <v>1 h 14 min 44 s</v>
      </c>
      <c r="L19" s="21">
        <f t="shared" si="6"/>
        <v>776.5138874</v>
      </c>
      <c r="M19" s="21">
        <f t="shared" si="10"/>
        <v>4484.083324</v>
      </c>
      <c r="O19" s="23">
        <f t="shared" si="11"/>
        <v>2955.78376</v>
      </c>
    </row>
    <row r="20">
      <c r="B20" s="13">
        <v>19.0</v>
      </c>
      <c r="C20" s="16">
        <f t="shared" si="7"/>
        <v>111.0223025</v>
      </c>
      <c r="D20" s="16">
        <f t="shared" si="8"/>
        <v>11245.5407</v>
      </c>
      <c r="E20" s="16" t="str">
        <f t="shared" si="1"/>
        <v>0 h 01 min 41 s</v>
      </c>
      <c r="F20" s="19">
        <f t="shared" ref="F20:G20" si="27">F19*$A$8</f>
        <v>103452.4316</v>
      </c>
      <c r="G20" s="20">
        <f t="shared" si="27"/>
        <v>51726.2158</v>
      </c>
      <c r="H20" s="19" t="str">
        <f t="shared" si="3"/>
        <v>0 h 15 min 32 s</v>
      </c>
      <c r="I20" s="20" t="str">
        <f t="shared" si="4"/>
        <v>0 h 07 min 46 s</v>
      </c>
      <c r="J20" s="14" t="str">
        <f t="shared" si="5"/>
        <v>1 h 30 min 16 s</v>
      </c>
      <c r="L20" s="21">
        <f t="shared" si="6"/>
        <v>931.8166648</v>
      </c>
      <c r="M20" s="21">
        <f t="shared" si="10"/>
        <v>5415.899989</v>
      </c>
      <c r="O20" s="23">
        <f t="shared" si="11"/>
        <v>4433.67564</v>
      </c>
    </row>
    <row r="21" ht="15.75" customHeight="1">
      <c r="B21" s="13">
        <v>20.0</v>
      </c>
      <c r="C21" s="16">
        <f t="shared" si="7"/>
        <v>138.7778781</v>
      </c>
      <c r="D21" s="16">
        <f t="shared" si="8"/>
        <v>14619.2029</v>
      </c>
      <c r="E21" s="16" t="str">
        <f t="shared" si="1"/>
        <v>0 h 01 min 45 s</v>
      </c>
      <c r="F21" s="19">
        <f t="shared" ref="F21:G21" si="28">F20*$A$8</f>
        <v>155178.6474</v>
      </c>
      <c r="G21" s="20">
        <f t="shared" si="28"/>
        <v>77589.3237</v>
      </c>
      <c r="H21" s="19" t="str">
        <f t="shared" si="3"/>
        <v>0 h 18 min 38 s</v>
      </c>
      <c r="I21" s="20" t="str">
        <f t="shared" si="4"/>
        <v>0 h 09 min 19 s</v>
      </c>
      <c r="J21" s="14" t="str">
        <f t="shared" si="5"/>
        <v>1 h 48 min 54 s</v>
      </c>
      <c r="L21" s="21">
        <f t="shared" si="6"/>
        <v>1118.179998</v>
      </c>
      <c r="M21" s="21">
        <f t="shared" si="10"/>
        <v>6534.079987</v>
      </c>
      <c r="O21" s="23">
        <f t="shared" si="11"/>
        <v>6650.51346</v>
      </c>
    </row>
    <row r="22" ht="15.75" customHeight="1">
      <c r="B22" s="13">
        <v>21.0</v>
      </c>
      <c r="C22" s="16">
        <f t="shared" si="7"/>
        <v>173.4723476</v>
      </c>
      <c r="D22" s="16">
        <f t="shared" si="8"/>
        <v>19004.96377</v>
      </c>
      <c r="E22" s="16" t="str">
        <f t="shared" si="1"/>
        <v>0 h 01 min 50 s</v>
      </c>
      <c r="F22" s="19">
        <f t="shared" ref="F22:G22" si="29">F21*$A$8</f>
        <v>232767.9711</v>
      </c>
      <c r="G22" s="20">
        <f t="shared" si="29"/>
        <v>116383.9856</v>
      </c>
      <c r="H22" s="19" t="str">
        <f t="shared" si="3"/>
        <v>0 h 22 min 22 s</v>
      </c>
      <c r="I22" s="20" t="str">
        <f t="shared" si="4"/>
        <v>0 h 11 min 11 s</v>
      </c>
      <c r="J22" s="14" t="str">
        <f t="shared" si="5"/>
        <v>2 h 11 min 16 s</v>
      </c>
      <c r="L22" s="21">
        <f t="shared" si="6"/>
        <v>1341.815997</v>
      </c>
      <c r="M22" s="21">
        <f t="shared" si="10"/>
        <v>7875.895984</v>
      </c>
      <c r="O22" s="23">
        <f t="shared" si="11"/>
        <v>9975.77019</v>
      </c>
    </row>
    <row r="23" ht="15.75" customHeight="1">
      <c r="B23" s="13">
        <v>22.0</v>
      </c>
      <c r="C23" s="16">
        <f t="shared" si="7"/>
        <v>216.8404345</v>
      </c>
      <c r="D23" s="16">
        <f t="shared" si="8"/>
        <v>24706.45291</v>
      </c>
      <c r="E23" s="16" t="str">
        <f t="shared" si="1"/>
        <v>0 h 01 min 54 s</v>
      </c>
      <c r="F23" s="19">
        <f t="shared" ref="F23:G23" si="30">F22*$A$8</f>
        <v>349151.9567</v>
      </c>
      <c r="G23" s="20">
        <f t="shared" si="30"/>
        <v>174575.9783</v>
      </c>
      <c r="H23" s="19" t="str">
        <f t="shared" si="3"/>
        <v>0 h 26 min 50 s</v>
      </c>
      <c r="I23" s="20" t="str">
        <f t="shared" si="4"/>
        <v>0 h 13 min 25 s</v>
      </c>
      <c r="J23" s="14" t="str">
        <f t="shared" si="5"/>
        <v>2 h 38 min 06 s</v>
      </c>
      <c r="L23" s="21">
        <f t="shared" si="6"/>
        <v>1610.179197</v>
      </c>
      <c r="M23" s="21">
        <f t="shared" si="10"/>
        <v>9486.075181</v>
      </c>
      <c r="O23" s="23">
        <f t="shared" si="11"/>
        <v>14963.65529</v>
      </c>
    </row>
    <row r="24" ht="15.75" customHeight="1">
      <c r="B24" s="13">
        <v>23.0</v>
      </c>
      <c r="C24" s="16">
        <f t="shared" si="7"/>
        <v>271.0505431</v>
      </c>
      <c r="D24" s="16">
        <f t="shared" si="8"/>
        <v>32118.38878</v>
      </c>
      <c r="E24" s="16" t="str">
        <f t="shared" si="1"/>
        <v>0 h 01 min 58 s</v>
      </c>
      <c r="F24" s="19">
        <f t="shared" ref="F24:G24" si="31">F23*$A$8</f>
        <v>523727.935</v>
      </c>
      <c r="G24" s="20">
        <f t="shared" si="31"/>
        <v>261863.9675</v>
      </c>
      <c r="H24" s="19" t="str">
        <f t="shared" si="3"/>
        <v>0 h 32 min 12 s</v>
      </c>
      <c r="I24" s="20" t="str">
        <f t="shared" si="4"/>
        <v>0 h 16 min 06 s</v>
      </c>
      <c r="J24" s="14" t="str">
        <f t="shared" si="5"/>
        <v>3 h 10 min 18 s</v>
      </c>
      <c r="L24" s="21">
        <f t="shared" si="6"/>
        <v>1932.215036</v>
      </c>
      <c r="M24" s="21">
        <f t="shared" si="10"/>
        <v>11418.29022</v>
      </c>
      <c r="O24" s="23">
        <f t="shared" si="11"/>
        <v>22445.48293</v>
      </c>
    </row>
    <row r="25" ht="15.75" customHeight="1">
      <c r="B25" s="13">
        <v>24.0</v>
      </c>
      <c r="C25" s="16">
        <f t="shared" si="7"/>
        <v>338.8131789</v>
      </c>
      <c r="D25" s="16">
        <f t="shared" si="8"/>
        <v>41753.90541</v>
      </c>
      <c r="E25" s="16" t="str">
        <f t="shared" si="1"/>
        <v>0 h 02 min 03 s</v>
      </c>
      <c r="F25" s="19">
        <f t="shared" ref="F25:G25" si="32">F24*$A$8</f>
        <v>785591.9025</v>
      </c>
      <c r="G25" s="20">
        <f t="shared" si="32"/>
        <v>392795.9512</v>
      </c>
      <c r="H25" s="19" t="str">
        <f t="shared" si="3"/>
        <v>0 h 38 min 39 s</v>
      </c>
      <c r="I25" s="20" t="str">
        <f t="shared" si="4"/>
        <v>0 h 19 min 19 s</v>
      </c>
      <c r="J25" s="14" t="str">
        <f t="shared" si="5"/>
        <v>3 h 48 min 57 s</v>
      </c>
      <c r="L25" s="21">
        <f t="shared" si="6"/>
        <v>2318.658043</v>
      </c>
      <c r="M25" s="21">
        <f t="shared" si="10"/>
        <v>13736.94826</v>
      </c>
      <c r="O25" s="23">
        <f t="shared" si="11"/>
        <v>33668.22439</v>
      </c>
    </row>
    <row r="26" ht="15.75" customHeight="1">
      <c r="B26" s="13">
        <v>25.0</v>
      </c>
      <c r="C26" s="16">
        <f t="shared" si="7"/>
        <v>423.5164736</v>
      </c>
      <c r="D26" s="16">
        <f t="shared" si="8"/>
        <v>54280.07704</v>
      </c>
      <c r="E26" s="16" t="str">
        <f t="shared" si="1"/>
        <v>0 h 02 min 08 s</v>
      </c>
      <c r="F26" s="19">
        <f t="shared" ref="F26:G26" si="33">F25*$A$8</f>
        <v>1178387.854</v>
      </c>
      <c r="G26" s="20">
        <f t="shared" si="33"/>
        <v>589193.9269</v>
      </c>
      <c r="H26" s="19" t="str">
        <f t="shared" si="3"/>
        <v>0 h 46 min 22 s</v>
      </c>
      <c r="I26" s="20" t="str">
        <f t="shared" si="4"/>
        <v>0 h 23 min 11 s</v>
      </c>
      <c r="J26" s="14" t="str">
        <f t="shared" si="5"/>
        <v>4 h 35 min 19 s</v>
      </c>
      <c r="L26" s="21">
        <f t="shared" si="6"/>
        <v>2782.389652</v>
      </c>
      <c r="M26" s="21">
        <f t="shared" si="10"/>
        <v>16519.33791</v>
      </c>
      <c r="O26" s="23">
        <f t="shared" si="11"/>
        <v>50502.33659</v>
      </c>
    </row>
    <row r="27" ht="15.75" customHeight="1">
      <c r="B27" s="13">
        <v>26.0</v>
      </c>
      <c r="C27" s="16">
        <f t="shared" si="7"/>
        <v>529.395592</v>
      </c>
      <c r="D27" s="16">
        <f t="shared" si="8"/>
        <v>70564.10015</v>
      </c>
      <c r="E27" s="16" t="str">
        <f t="shared" si="1"/>
        <v>0 h 02 min 13 s</v>
      </c>
      <c r="F27" s="19">
        <f t="shared" ref="F27:G27" si="34">F26*$A$8</f>
        <v>1767581.781</v>
      </c>
      <c r="G27" s="20">
        <f t="shared" si="34"/>
        <v>883790.8903</v>
      </c>
      <c r="H27" s="19" t="str">
        <f t="shared" si="3"/>
        <v>0 h 55 min 39 s</v>
      </c>
      <c r="I27" s="20" t="str">
        <f t="shared" si="4"/>
        <v>0 h 27 min 49 s</v>
      </c>
      <c r="J27" s="14" t="str">
        <f t="shared" si="5"/>
        <v>5 h 30 min 58 s</v>
      </c>
      <c r="L27" s="21">
        <f t="shared" si="6"/>
        <v>3338.867583</v>
      </c>
      <c r="M27" s="21">
        <f t="shared" si="10"/>
        <v>19858.2055</v>
      </c>
      <c r="O27" s="23">
        <f t="shared" si="11"/>
        <v>75753.50488</v>
      </c>
    </row>
    <row r="28" ht="15.75" customHeight="1">
      <c r="B28" s="13">
        <v>27.0</v>
      </c>
      <c r="C28" s="16">
        <f t="shared" si="7"/>
        <v>661.74449</v>
      </c>
      <c r="D28" s="16">
        <f t="shared" si="8"/>
        <v>91733.33019</v>
      </c>
      <c r="E28" s="16" t="str">
        <f t="shared" si="1"/>
        <v>0 h 02 min 19 s</v>
      </c>
      <c r="F28" s="19">
        <f t="shared" ref="F28:G28" si="35">F27*$A$8</f>
        <v>2651372.671</v>
      </c>
      <c r="G28" s="20">
        <f t="shared" si="35"/>
        <v>1325686.335</v>
      </c>
      <c r="H28" s="19" t="str">
        <f t="shared" si="3"/>
        <v>1 h 06 min 47 s</v>
      </c>
      <c r="I28" s="20" t="str">
        <f t="shared" si="4"/>
        <v>0 h 33 min 23 s</v>
      </c>
      <c r="J28" s="14" t="str">
        <f t="shared" si="5"/>
        <v>6 h 37 min 45 s</v>
      </c>
      <c r="L28" s="21">
        <f t="shared" si="6"/>
        <v>4006.641099</v>
      </c>
      <c r="M28" s="21">
        <f t="shared" si="10"/>
        <v>23864.84659</v>
      </c>
      <c r="O28" s="23">
        <f t="shared" si="11"/>
        <v>113630.2573</v>
      </c>
    </row>
    <row r="29" ht="15.75" customHeight="1">
      <c r="B29" s="13">
        <v>28.0</v>
      </c>
      <c r="C29" s="16">
        <f t="shared" si="7"/>
        <v>827.1806126</v>
      </c>
      <c r="D29" s="16">
        <f t="shared" si="8"/>
        <v>119253.3293</v>
      </c>
      <c r="E29" s="16" t="str">
        <f t="shared" si="1"/>
        <v>0 h 02 min 24 s</v>
      </c>
      <c r="F29" s="19">
        <f t="shared" ref="F29:G29" si="36">F28*$A$8</f>
        <v>3977059.006</v>
      </c>
      <c r="G29" s="20">
        <f t="shared" si="36"/>
        <v>1988529.503</v>
      </c>
      <c r="H29" s="19" t="str">
        <f t="shared" si="3"/>
        <v>1 h 20 min 08 s</v>
      </c>
      <c r="I29" s="20" t="str">
        <f t="shared" si="4"/>
        <v>0 h 40 min 04 s</v>
      </c>
      <c r="J29" s="14" t="str">
        <f t="shared" si="5"/>
        <v>7 h 57 min 53 s</v>
      </c>
      <c r="L29" s="21">
        <f t="shared" si="6"/>
        <v>4807.969319</v>
      </c>
      <c r="M29" s="21">
        <f t="shared" si="10"/>
        <v>28672.81591</v>
      </c>
      <c r="O29" s="23">
        <f t="shared" si="11"/>
        <v>170445.386</v>
      </c>
    </row>
    <row r="30" ht="15.75" customHeight="1">
      <c r="B30" s="13">
        <v>29.0</v>
      </c>
      <c r="C30" s="16">
        <f t="shared" si="7"/>
        <v>1033.975766</v>
      </c>
      <c r="D30" s="16">
        <f t="shared" si="8"/>
        <v>155029.328</v>
      </c>
      <c r="E30" s="16" t="str">
        <f t="shared" si="1"/>
        <v>0 h 02 min 30 s</v>
      </c>
      <c r="F30" s="19">
        <f t="shared" ref="F30:G30" si="37">F29*$A$8</f>
        <v>5965588.509</v>
      </c>
      <c r="G30" s="20">
        <f t="shared" si="37"/>
        <v>2982794.255</v>
      </c>
      <c r="H30" s="19" t="str">
        <f t="shared" si="3"/>
        <v>1 h 36 min 10 s</v>
      </c>
      <c r="I30" s="20" t="str">
        <f t="shared" si="4"/>
        <v>0 h 48 min 05 s</v>
      </c>
      <c r="J30" s="14" t="str">
        <f t="shared" si="5"/>
        <v>9 h 34 min 02 s</v>
      </c>
      <c r="L30" s="21">
        <f t="shared" si="6"/>
        <v>5769.563183</v>
      </c>
      <c r="M30" s="21">
        <f t="shared" si="10"/>
        <v>34442.3791</v>
      </c>
      <c r="O30" s="23">
        <f t="shared" si="11"/>
        <v>255668.079</v>
      </c>
    </row>
    <row r="31" ht="15.75" customHeight="1">
      <c r="B31" s="13">
        <v>30.0</v>
      </c>
      <c r="C31" s="16">
        <f t="shared" si="7"/>
        <v>1292.469707</v>
      </c>
      <c r="D31" s="16">
        <f t="shared" si="8"/>
        <v>201538.1264</v>
      </c>
      <c r="E31" s="16" t="str">
        <f t="shared" si="1"/>
        <v>0 h 02 min 36 s</v>
      </c>
      <c r="F31" s="19">
        <f t="shared" ref="F31:G31" si="38">F30*$A$8</f>
        <v>8948382.764</v>
      </c>
      <c r="G31" s="20">
        <f t="shared" si="38"/>
        <v>4474191.382</v>
      </c>
      <c r="H31" s="19" t="str">
        <f t="shared" si="3"/>
        <v>1 h 55 min 23 s</v>
      </c>
      <c r="I31" s="20" t="str">
        <f t="shared" si="4"/>
        <v>0 h 57 min 42 s</v>
      </c>
      <c r="J31" s="14" t="str">
        <f t="shared" si="5"/>
        <v>11 h 29 min 26 s</v>
      </c>
      <c r="L31" s="21">
        <f t="shared" si="6"/>
        <v>6923.475819</v>
      </c>
      <c r="M31" s="21">
        <f t="shared" si="10"/>
        <v>41365.85491</v>
      </c>
      <c r="O31" s="23">
        <f t="shared" si="11"/>
        <v>383502.1185</v>
      </c>
    </row>
    <row r="32" ht="15.75" customHeight="1">
      <c r="B32" s="13">
        <v>31.0</v>
      </c>
      <c r="C32" s="16">
        <f t="shared" si="7"/>
        <v>1615.587134</v>
      </c>
      <c r="D32" s="16">
        <f t="shared" si="8"/>
        <v>261999.5644</v>
      </c>
      <c r="E32" s="16" t="str">
        <f t="shared" si="1"/>
        <v>0 h 02 min 42 s</v>
      </c>
      <c r="F32" s="19">
        <f t="shared" ref="F32:G32" si="39">F31*$A$8</f>
        <v>13422574.15</v>
      </c>
      <c r="G32" s="20">
        <f t="shared" si="39"/>
        <v>6711287.073</v>
      </c>
      <c r="H32" s="19" t="str">
        <f t="shared" si="3"/>
        <v>2 h 18 min 28 s</v>
      </c>
      <c r="I32" s="20" t="str">
        <f t="shared" si="4"/>
        <v>1 h 09 min 14 s</v>
      </c>
      <c r="J32" s="14" t="str">
        <f t="shared" ref="J32:J100" si="41">INT(M32/86400) &amp; " d " &amp;
TEXT(MOD(M32,86400)/86400, "h"" h ""mm"" min ""ss"" s""")
</f>
        <v>0 d 13 h 47 min 54 s</v>
      </c>
      <c r="L32" s="21">
        <f t="shared" si="6"/>
        <v>8308.170983</v>
      </c>
      <c r="M32" s="21">
        <f t="shared" si="10"/>
        <v>49674.0259</v>
      </c>
      <c r="O32" s="23">
        <f t="shared" si="11"/>
        <v>575253.1777</v>
      </c>
    </row>
    <row r="33" ht="15.75" customHeight="1">
      <c r="B33" s="13">
        <v>32.0</v>
      </c>
      <c r="C33" s="16">
        <f t="shared" si="7"/>
        <v>2019.483917</v>
      </c>
      <c r="D33" s="16">
        <f t="shared" si="8"/>
        <v>340599.4337</v>
      </c>
      <c r="E33" s="16" t="str">
        <f t="shared" si="1"/>
        <v>0 h 02 min 49 s</v>
      </c>
      <c r="F33" s="19">
        <f t="shared" ref="F33:G33" si="40">F32*$A$8</f>
        <v>20133861.22</v>
      </c>
      <c r="G33" s="20">
        <f t="shared" si="40"/>
        <v>10066930.61</v>
      </c>
      <c r="H33" s="19" t="str">
        <f t="shared" si="3"/>
        <v>2 h 46 min 10 s</v>
      </c>
      <c r="I33" s="20" t="str">
        <f t="shared" si="4"/>
        <v>1 h 23 min 05 s</v>
      </c>
      <c r="J33" s="14" t="str">
        <f t="shared" si="41"/>
        <v>0 d 16 h 34 min 04 s</v>
      </c>
      <c r="L33" s="21">
        <f t="shared" si="6"/>
        <v>9969.80518</v>
      </c>
      <c r="M33" s="21">
        <f t="shared" si="10"/>
        <v>59643.83108</v>
      </c>
      <c r="O33" s="23">
        <f t="shared" si="11"/>
        <v>862879.7665</v>
      </c>
    </row>
    <row r="34" ht="15.75" customHeight="1">
      <c r="B34" s="13">
        <v>33.0</v>
      </c>
      <c r="C34" s="16">
        <f t="shared" si="7"/>
        <v>2524.354897</v>
      </c>
      <c r="D34" s="16">
        <f t="shared" si="8"/>
        <v>442779.2638</v>
      </c>
      <c r="E34" s="16" t="str">
        <f t="shared" si="1"/>
        <v>0 h 02 min 55 s</v>
      </c>
      <c r="F34" s="19">
        <f t="shared" ref="F34:G34" si="42">F33*$A$8</f>
        <v>30200791.83</v>
      </c>
      <c r="G34" s="20">
        <f t="shared" si="42"/>
        <v>15100395.91</v>
      </c>
      <c r="H34" s="19" t="str">
        <f t="shared" si="3"/>
        <v>3 h 19 min 24 s</v>
      </c>
      <c r="I34" s="20" t="str">
        <f t="shared" si="4"/>
        <v>1 h 39 min 42 s</v>
      </c>
      <c r="J34" s="14" t="str">
        <f t="shared" si="41"/>
        <v>0 d 19 h 53 min 28 s</v>
      </c>
      <c r="L34" s="21">
        <f t="shared" si="6"/>
        <v>11963.76622</v>
      </c>
      <c r="M34" s="21">
        <f t="shared" si="10"/>
        <v>71607.59729</v>
      </c>
      <c r="O34" s="23">
        <f t="shared" si="11"/>
        <v>1294319.65</v>
      </c>
    </row>
    <row r="35" ht="15.75" customHeight="1">
      <c r="B35" s="13">
        <v>34.0</v>
      </c>
      <c r="C35" s="16">
        <f t="shared" si="7"/>
        <v>3155.443621</v>
      </c>
      <c r="D35" s="16">
        <f t="shared" si="8"/>
        <v>575613.0429</v>
      </c>
      <c r="E35" s="16" t="str">
        <f t="shared" si="1"/>
        <v>0 h 03 min 02 s</v>
      </c>
      <c r="F35" s="19">
        <f t="shared" ref="F35:G35" si="43">F34*$A$8</f>
        <v>45301187.74</v>
      </c>
      <c r="G35" s="20">
        <f t="shared" si="43"/>
        <v>22650593.87</v>
      </c>
      <c r="H35" s="19" t="str">
        <f t="shared" si="3"/>
        <v>3 h 59 min 17 s</v>
      </c>
      <c r="I35" s="20" t="str">
        <f t="shared" si="4"/>
        <v>1 h 59 min 38 s</v>
      </c>
      <c r="J35" s="14" t="str">
        <f t="shared" si="41"/>
        <v>0 d 23 h 52 min 44 s</v>
      </c>
      <c r="L35" s="21">
        <f t="shared" si="6"/>
        <v>14356.51946</v>
      </c>
      <c r="M35" s="21">
        <f t="shared" si="10"/>
        <v>85964.11675</v>
      </c>
      <c r="O35" s="23">
        <f t="shared" si="11"/>
        <v>1941479.475</v>
      </c>
    </row>
    <row r="36" ht="15.75" customHeight="1">
      <c r="B36" s="13">
        <v>35.0</v>
      </c>
      <c r="C36" s="16">
        <f t="shared" si="7"/>
        <v>3944.304526</v>
      </c>
      <c r="D36" s="16">
        <f t="shared" si="8"/>
        <v>748296.9558</v>
      </c>
      <c r="E36" s="16" t="str">
        <f t="shared" si="1"/>
        <v>0 h 03 min 10 s</v>
      </c>
      <c r="F36" s="19">
        <f t="shared" ref="F36:G36" si="44">F35*$A$8</f>
        <v>67951781.62</v>
      </c>
      <c r="G36" s="20">
        <f t="shared" si="44"/>
        <v>33975890.81</v>
      </c>
      <c r="H36" s="19" t="str">
        <f t="shared" si="3"/>
        <v>4 h 47 min 08 s</v>
      </c>
      <c r="I36" s="20" t="str">
        <f t="shared" si="4"/>
        <v>2 h 23 min 34 s</v>
      </c>
      <c r="J36" s="14" t="str">
        <f t="shared" si="41"/>
        <v>1 d 4 h 39 min 52 s</v>
      </c>
      <c r="L36" s="21">
        <f t="shared" si="6"/>
        <v>17227.82335</v>
      </c>
      <c r="M36" s="21">
        <f t="shared" si="10"/>
        <v>103191.9401</v>
      </c>
      <c r="O36" s="23">
        <f t="shared" si="11"/>
        <v>2912219.212</v>
      </c>
    </row>
    <row r="37" ht="15.75" customHeight="1">
      <c r="B37" s="13">
        <v>36.0</v>
      </c>
      <c r="C37" s="16">
        <f t="shared" si="7"/>
        <v>4930.380658</v>
      </c>
      <c r="D37" s="16">
        <f t="shared" si="8"/>
        <v>972786.0425</v>
      </c>
      <c r="E37" s="16" t="str">
        <f t="shared" si="1"/>
        <v>0 h 03 min 17 s</v>
      </c>
      <c r="F37" s="19">
        <f t="shared" ref="F37:G37" si="45">F36*$A$8</f>
        <v>101927672.4</v>
      </c>
      <c r="G37" s="20">
        <f t="shared" si="45"/>
        <v>50963836.21</v>
      </c>
      <c r="H37" s="19" t="str">
        <f t="shared" si="3"/>
        <v>5 h 44 min 33 s</v>
      </c>
      <c r="I37" s="20" t="str">
        <f t="shared" si="4"/>
        <v>2 h 52 min 17 s</v>
      </c>
      <c r="J37" s="14" t="str">
        <f t="shared" si="41"/>
        <v>1 d 10 h 24 min 25 s</v>
      </c>
      <c r="L37" s="21">
        <f t="shared" si="6"/>
        <v>20673.38802</v>
      </c>
      <c r="M37" s="21">
        <f t="shared" si="10"/>
        <v>123865.3281</v>
      </c>
      <c r="O37" s="23">
        <f t="shared" si="11"/>
        <v>4368328.818</v>
      </c>
    </row>
    <row r="38" ht="15.75" customHeight="1">
      <c r="B38" s="13">
        <v>37.0</v>
      </c>
      <c r="C38" s="16">
        <f t="shared" si="7"/>
        <v>6162.975822</v>
      </c>
      <c r="D38" s="16">
        <f t="shared" si="8"/>
        <v>1264621.855</v>
      </c>
      <c r="E38" s="16" t="str">
        <f t="shared" si="1"/>
        <v>0 h 03 min 25 s</v>
      </c>
      <c r="F38" s="19">
        <f t="shared" ref="F38:G38" si="46">F37*$A$8</f>
        <v>152891508.6</v>
      </c>
      <c r="G38" s="20">
        <f t="shared" si="46"/>
        <v>76445754.32</v>
      </c>
      <c r="H38" s="19" t="str">
        <f t="shared" si="3"/>
        <v>6 h 53 min 28 s</v>
      </c>
      <c r="I38" s="20" t="str">
        <f t="shared" si="4"/>
        <v>3 h 26 min 44 s</v>
      </c>
      <c r="J38" s="14" t="str">
        <f t="shared" si="41"/>
        <v>1 d 17 h 17 min 53 s</v>
      </c>
      <c r="L38" s="21">
        <f t="shared" si="6"/>
        <v>24808.06562</v>
      </c>
      <c r="M38" s="21">
        <f t="shared" si="10"/>
        <v>148673.3937</v>
      </c>
      <c r="O38" s="23">
        <f t="shared" si="11"/>
        <v>6552493.227</v>
      </c>
    </row>
    <row r="39" ht="15.75" customHeight="1">
      <c r="B39" s="13">
        <v>38.0</v>
      </c>
      <c r="C39" s="16">
        <f t="shared" si="7"/>
        <v>7703.719778</v>
      </c>
      <c r="D39" s="16">
        <f t="shared" si="8"/>
        <v>1644008.412</v>
      </c>
      <c r="E39" s="16" t="str">
        <f t="shared" si="1"/>
        <v>0 h 03 min 33 s</v>
      </c>
      <c r="F39" s="19">
        <f t="shared" ref="F39:G39" si="47">F38*$A$8</f>
        <v>229337263</v>
      </c>
      <c r="G39" s="20">
        <f t="shared" si="47"/>
        <v>114668631.5</v>
      </c>
      <c r="H39" s="19" t="str">
        <f t="shared" si="3"/>
        <v>8 h 16 min 10 s</v>
      </c>
      <c r="I39" s="20" t="str">
        <f t="shared" si="4"/>
        <v>4 h 08 min 05 s</v>
      </c>
      <c r="J39" s="14" t="str">
        <f t="shared" si="41"/>
        <v>2 d 1 h 34 min 03 s</v>
      </c>
      <c r="L39" s="21">
        <f t="shared" si="6"/>
        <v>29769.67875</v>
      </c>
      <c r="M39" s="21">
        <f t="shared" si="10"/>
        <v>178443.0725</v>
      </c>
      <c r="O39" s="23">
        <f t="shared" si="11"/>
        <v>9828739.841</v>
      </c>
    </row>
    <row r="40" ht="15.75" customHeight="1">
      <c r="B40" s="13">
        <v>39.0</v>
      </c>
      <c r="C40" s="16">
        <f t="shared" si="7"/>
        <v>9629.649722</v>
      </c>
      <c r="D40" s="16">
        <f t="shared" si="8"/>
        <v>2137210.935</v>
      </c>
      <c r="E40" s="16" t="str">
        <f t="shared" si="1"/>
        <v>0 h 03 min 42 s</v>
      </c>
      <c r="F40" s="19">
        <f t="shared" ref="F40:G40" si="48">F39*$A$8</f>
        <v>344005894.4</v>
      </c>
      <c r="G40" s="20">
        <f t="shared" si="48"/>
        <v>172002947.2</v>
      </c>
      <c r="H40" s="19" t="str">
        <f t="shared" si="3"/>
        <v>9 h 55 min 24 s</v>
      </c>
      <c r="I40" s="20" t="str">
        <f t="shared" si="4"/>
        <v>4 h 57 min 42 s</v>
      </c>
      <c r="J40" s="14" t="str">
        <f t="shared" si="41"/>
        <v>2 d 11 h 29 min 27 s</v>
      </c>
      <c r="L40" s="21">
        <f t="shared" si="6"/>
        <v>35723.6145</v>
      </c>
      <c r="M40" s="21">
        <f t="shared" si="10"/>
        <v>214166.687</v>
      </c>
      <c r="O40" s="23">
        <f t="shared" si="11"/>
        <v>14743109.76</v>
      </c>
    </row>
    <row r="41" ht="15.75" customHeight="1">
      <c r="B41" s="13">
        <v>40.0</v>
      </c>
      <c r="C41" s="16">
        <f t="shared" si="7"/>
        <v>12037.06215</v>
      </c>
      <c r="D41" s="16">
        <f t="shared" si="8"/>
        <v>2778374.216</v>
      </c>
      <c r="E41" s="16" t="str">
        <f t="shared" si="1"/>
        <v>0 h 03 min 51 s</v>
      </c>
      <c r="F41" s="19">
        <f t="shared" ref="F41:G41" si="49">F40*$A$8</f>
        <v>516008841.6</v>
      </c>
      <c r="G41" s="20">
        <f t="shared" si="49"/>
        <v>258004420.8</v>
      </c>
      <c r="H41" s="19" t="str">
        <f t="shared" si="3"/>
        <v>11 h 54 min 28 s</v>
      </c>
      <c r="I41" s="20" t="str">
        <f t="shared" si="4"/>
        <v>5 h 57 min 14 s</v>
      </c>
      <c r="J41" s="14" t="str">
        <f t="shared" si="41"/>
        <v>2 d 23 h 23 min 55 s</v>
      </c>
      <c r="L41" s="21">
        <f t="shared" si="6"/>
        <v>42868.3374</v>
      </c>
      <c r="M41" s="21">
        <f t="shared" si="10"/>
        <v>257035.0244</v>
      </c>
      <c r="O41" s="23">
        <f t="shared" si="11"/>
        <v>22114664.64</v>
      </c>
    </row>
    <row r="42" ht="15.75" customHeight="1">
      <c r="B42" s="13">
        <v>41.0</v>
      </c>
      <c r="C42" s="16">
        <f t="shared" si="7"/>
        <v>15046.32769</v>
      </c>
      <c r="D42" s="16">
        <f t="shared" si="8"/>
        <v>3611886.481</v>
      </c>
      <c r="E42" s="16" t="str">
        <f t="shared" si="1"/>
        <v>0 h 04 min 00 s</v>
      </c>
      <c r="F42" s="19">
        <f t="shared" ref="F42:G42" si="50">F41*$A$8</f>
        <v>774013262.5</v>
      </c>
      <c r="G42" s="20">
        <f t="shared" si="50"/>
        <v>387006631.2</v>
      </c>
      <c r="H42" s="19" t="str">
        <f t="shared" si="3"/>
        <v>14 h 17 min 22 s</v>
      </c>
      <c r="I42" s="20" t="str">
        <f t="shared" si="4"/>
        <v>7 h 08 min 41 s</v>
      </c>
      <c r="J42" s="14" t="str">
        <f t="shared" si="41"/>
        <v>3 d 13 h 41 min 17 s</v>
      </c>
      <c r="L42" s="21">
        <f t="shared" si="6"/>
        <v>51442.00488</v>
      </c>
      <c r="M42" s="21">
        <f t="shared" si="10"/>
        <v>308477.0293</v>
      </c>
      <c r="O42" s="23">
        <f t="shared" si="11"/>
        <v>33171996.96</v>
      </c>
    </row>
    <row r="43" ht="15.75" customHeight="1">
      <c r="B43" s="13">
        <v>42.0</v>
      </c>
      <c r="C43" s="16">
        <f t="shared" si="7"/>
        <v>18807.90961</v>
      </c>
      <c r="D43" s="16">
        <f t="shared" si="8"/>
        <v>4695452.425</v>
      </c>
      <c r="E43" s="16" t="str">
        <f t="shared" si="1"/>
        <v>0 h 04 min 10 s</v>
      </c>
      <c r="F43" s="19">
        <f t="shared" ref="F43:G43" si="51">F42*$A$8</f>
        <v>1161019894</v>
      </c>
      <c r="G43" s="20">
        <f t="shared" si="51"/>
        <v>580509946.8</v>
      </c>
      <c r="H43" s="19" t="str">
        <f t="shared" si="3"/>
        <v>17 h 08 min 50 s</v>
      </c>
      <c r="I43" s="20" t="str">
        <f t="shared" si="4"/>
        <v>8 h 34 min 25 s</v>
      </c>
      <c r="J43" s="14" t="str">
        <f t="shared" si="41"/>
        <v>4 d 6 h 50 min 07 s</v>
      </c>
      <c r="L43" s="21">
        <f t="shared" si="6"/>
        <v>61730.40585</v>
      </c>
      <c r="M43" s="21">
        <f t="shared" si="10"/>
        <v>370207.4351</v>
      </c>
      <c r="O43" s="23">
        <f t="shared" si="11"/>
        <v>49757995.44</v>
      </c>
    </row>
    <row r="44" ht="15.75" customHeight="1">
      <c r="B44" s="13">
        <v>43.0</v>
      </c>
      <c r="C44" s="16">
        <f t="shared" si="7"/>
        <v>23509.88702</v>
      </c>
      <c r="D44" s="16">
        <f t="shared" si="8"/>
        <v>6104088.153</v>
      </c>
      <c r="E44" s="16" t="str">
        <f t="shared" si="1"/>
        <v>0 h 04 min 20 s</v>
      </c>
      <c r="F44" s="19">
        <f t="shared" ref="F44:G44" si="52">F43*$A$8</f>
        <v>1741529841</v>
      </c>
      <c r="G44" s="20">
        <f t="shared" si="52"/>
        <v>870764920.3</v>
      </c>
      <c r="H44" s="19" t="str">
        <f t="shared" si="3"/>
        <v>20 h 34 min 36 s</v>
      </c>
      <c r="I44" s="20" t="str">
        <f t="shared" si="4"/>
        <v>10 h 17 min 18 s</v>
      </c>
      <c r="J44" s="14" t="str">
        <f t="shared" si="41"/>
        <v>5 d 3 h 24 min 44 s</v>
      </c>
      <c r="L44" s="21">
        <f t="shared" si="6"/>
        <v>74076.48703</v>
      </c>
      <c r="M44" s="21">
        <f t="shared" si="10"/>
        <v>444283.9222</v>
      </c>
      <c r="O44" s="23">
        <f t="shared" si="11"/>
        <v>74636993.17</v>
      </c>
    </row>
    <row r="45" ht="15.75" customHeight="1">
      <c r="B45" s="13">
        <v>44.0</v>
      </c>
      <c r="C45" s="16">
        <f t="shared" si="7"/>
        <v>29387.35877</v>
      </c>
      <c r="D45" s="16">
        <f t="shared" si="8"/>
        <v>7935314.598</v>
      </c>
      <c r="E45" s="16" t="str">
        <f t="shared" si="1"/>
        <v>0 h 04 min 30 s</v>
      </c>
      <c r="F45" s="19">
        <f t="shared" ref="F45:G45" si="53">F44*$A$8</f>
        <v>2612294761</v>
      </c>
      <c r="G45" s="20">
        <f t="shared" si="53"/>
        <v>1306147380</v>
      </c>
      <c r="H45" s="19" t="str">
        <f t="shared" si="3"/>
        <v>24 h 41 min 32 s</v>
      </c>
      <c r="I45" s="20" t="str">
        <f t="shared" si="4"/>
        <v>12 h 20 min 46 s</v>
      </c>
      <c r="J45" s="14" t="str">
        <f t="shared" si="41"/>
        <v>6 d 4 h 06 min 16 s</v>
      </c>
      <c r="L45" s="21">
        <f t="shared" si="6"/>
        <v>88891.78443</v>
      </c>
      <c r="M45" s="21">
        <f t="shared" si="10"/>
        <v>533175.7066</v>
      </c>
      <c r="O45" s="23">
        <f t="shared" si="11"/>
        <v>111955489.7</v>
      </c>
    </row>
    <row r="46" ht="15.75" customHeight="1">
      <c r="B46" s="13">
        <v>45.0</v>
      </c>
      <c r="C46" s="16">
        <f t="shared" si="7"/>
        <v>36734.19846</v>
      </c>
      <c r="D46" s="16">
        <f t="shared" si="8"/>
        <v>10315908.98</v>
      </c>
      <c r="E46" s="16" t="str">
        <f t="shared" si="1"/>
        <v>0 h 04 min 41 s</v>
      </c>
      <c r="F46" s="19">
        <f t="shared" ref="F46:G46" si="54">F45*$A$8</f>
        <v>3918442141</v>
      </c>
      <c r="G46" s="20">
        <f t="shared" si="54"/>
        <v>1959221071</v>
      </c>
      <c r="H46" s="19" t="str">
        <f t="shared" si="3"/>
        <v>29 h 37 min 50 s</v>
      </c>
      <c r="I46" s="20" t="str">
        <f t="shared" si="4"/>
        <v>14 h 48 min 55 s</v>
      </c>
      <c r="J46" s="14" t="str">
        <f t="shared" si="41"/>
        <v>7 d 9 h 44 min 06 s</v>
      </c>
      <c r="L46" s="21">
        <f t="shared" si="6"/>
        <v>106670.1413</v>
      </c>
      <c r="M46" s="21">
        <f t="shared" si="10"/>
        <v>639845.8479</v>
      </c>
      <c r="O46" s="23">
        <f t="shared" si="11"/>
        <v>167933234.6</v>
      </c>
    </row>
    <row r="47" ht="15.75" customHeight="1">
      <c r="B47" s="13">
        <v>46.0</v>
      </c>
      <c r="C47" s="16">
        <f t="shared" si="7"/>
        <v>45917.74808</v>
      </c>
      <c r="D47" s="16">
        <f t="shared" si="8"/>
        <v>13410681.67</v>
      </c>
      <c r="E47" s="16" t="str">
        <f t="shared" si="1"/>
        <v>0 h 04 min 52 s</v>
      </c>
      <c r="F47" s="19">
        <f t="shared" ref="F47:G47" si="55">F46*$A$8</f>
        <v>5877663212</v>
      </c>
      <c r="G47" s="20">
        <f t="shared" si="55"/>
        <v>2938831606</v>
      </c>
      <c r="H47" s="19" t="str">
        <f t="shared" si="3"/>
        <v>35 h 33 min 24 s</v>
      </c>
      <c r="I47" s="20" t="str">
        <f t="shared" si="4"/>
        <v>17 h 46 min 42 s</v>
      </c>
      <c r="J47" s="14" t="str">
        <f t="shared" si="41"/>
        <v>8 d 21 h 17 min 30 s</v>
      </c>
      <c r="L47" s="21">
        <f t="shared" si="6"/>
        <v>128004.1696</v>
      </c>
      <c r="M47" s="21">
        <f t="shared" si="10"/>
        <v>767850.0175</v>
      </c>
      <c r="O47" s="23">
        <f t="shared" si="11"/>
        <v>251899851.9</v>
      </c>
    </row>
    <row r="48" ht="15.75" customHeight="1">
      <c r="B48" s="13">
        <v>47.0</v>
      </c>
      <c r="C48" s="16">
        <f t="shared" si="7"/>
        <v>57397.1851</v>
      </c>
      <c r="D48" s="16">
        <f t="shared" si="8"/>
        <v>17433886.17</v>
      </c>
      <c r="E48" s="16" t="str">
        <f t="shared" si="1"/>
        <v>0 h 05 min 04 s</v>
      </c>
      <c r="F48" s="19">
        <f t="shared" ref="F48:G48" si="56">F47*$A$8</f>
        <v>8816494818</v>
      </c>
      <c r="G48" s="20">
        <f t="shared" si="56"/>
        <v>4408247409</v>
      </c>
      <c r="H48" s="19" t="str">
        <f t="shared" si="3"/>
        <v>42 h 40 min 05 s</v>
      </c>
      <c r="I48" s="20" t="str">
        <f t="shared" si="4"/>
        <v>21 h 20 min 03 s</v>
      </c>
      <c r="J48" s="14" t="str">
        <f t="shared" si="41"/>
        <v>10 d 15 h 57 min 35 s</v>
      </c>
      <c r="L48" s="21">
        <f t="shared" si="6"/>
        <v>153605.0035</v>
      </c>
      <c r="M48" s="21">
        <f t="shared" si="10"/>
        <v>921455.021</v>
      </c>
      <c r="O48" s="23">
        <f t="shared" si="11"/>
        <v>377849777.9</v>
      </c>
    </row>
    <row r="49" ht="15.75" customHeight="1">
      <c r="B49" s="13">
        <v>48.0</v>
      </c>
      <c r="C49" s="16">
        <f t="shared" si="7"/>
        <v>71746.48137</v>
      </c>
      <c r="D49" s="16">
        <f t="shared" si="8"/>
        <v>22664052.02</v>
      </c>
      <c r="E49" s="16" t="str">
        <f t="shared" si="1"/>
        <v>0 h 05 min 16 s</v>
      </c>
      <c r="F49" s="19">
        <f t="shared" ref="F49:G49" si="57">F48*$A$8</f>
        <v>13224742227</v>
      </c>
      <c r="G49" s="20">
        <f t="shared" si="57"/>
        <v>6612371113</v>
      </c>
      <c r="H49" s="19" t="str">
        <f t="shared" si="3"/>
        <v>51 h 12 min 06 s</v>
      </c>
      <c r="I49" s="20" t="str">
        <f t="shared" si="4"/>
        <v>25 h 36 min 03 s</v>
      </c>
      <c r="J49" s="14" t="str">
        <f t="shared" si="41"/>
        <v>12 d 19 h 09 min 41 s</v>
      </c>
      <c r="L49" s="21">
        <f t="shared" si="6"/>
        <v>184326.0042</v>
      </c>
      <c r="M49" s="21">
        <f t="shared" si="10"/>
        <v>1105781.025</v>
      </c>
      <c r="O49" s="23">
        <f t="shared" si="11"/>
        <v>566774666.9</v>
      </c>
    </row>
    <row r="50" ht="15.75" customHeight="1">
      <c r="B50" s="13">
        <v>49.0</v>
      </c>
      <c r="C50" s="16">
        <f t="shared" si="7"/>
        <v>89683.10172</v>
      </c>
      <c r="D50" s="16">
        <f t="shared" si="8"/>
        <v>29463267.63</v>
      </c>
      <c r="E50" s="16" t="str">
        <f t="shared" si="1"/>
        <v>0 h 05 min 29 s</v>
      </c>
      <c r="F50" s="19">
        <f t="shared" ref="F50:G50" si="58">F49*$A$8</f>
        <v>19837113340</v>
      </c>
      <c r="G50" s="20">
        <f t="shared" si="58"/>
        <v>9918556670</v>
      </c>
      <c r="H50" s="19" t="str">
        <f t="shared" si="3"/>
        <v>61 h 26 min 31 s</v>
      </c>
      <c r="I50" s="20" t="str">
        <f t="shared" si="4"/>
        <v>30 h 43 min 16 s</v>
      </c>
      <c r="J50" s="14" t="str">
        <f t="shared" si="41"/>
        <v>15 d 8 h 36 min 12 s</v>
      </c>
      <c r="L50" s="21">
        <f t="shared" si="6"/>
        <v>221191.205</v>
      </c>
      <c r="M50" s="21">
        <f t="shared" si="10"/>
        <v>1326972.23</v>
      </c>
      <c r="O50" s="23">
        <f t="shared" si="11"/>
        <v>850162000.3</v>
      </c>
    </row>
    <row r="51" ht="15.75" customHeight="1">
      <c r="B51" s="13">
        <v>50.0</v>
      </c>
      <c r="C51" s="16">
        <f t="shared" si="7"/>
        <v>112103.8771</v>
      </c>
      <c r="D51" s="16">
        <f t="shared" si="8"/>
        <v>38302247.92</v>
      </c>
      <c r="E51" s="16" t="str">
        <f t="shared" si="1"/>
        <v>0 h 05 min 42 s</v>
      </c>
      <c r="F51" s="19">
        <f t="shared" ref="F51:G51" si="59">F50*$A$8</f>
        <v>29755670010</v>
      </c>
      <c r="G51" s="20">
        <f t="shared" si="59"/>
        <v>14877835005</v>
      </c>
      <c r="H51" s="19" t="str">
        <f t="shared" si="3"/>
        <v>73 h 43 min 49 s</v>
      </c>
      <c r="I51" s="20" t="str">
        <f t="shared" si="4"/>
        <v>36 h 51 min 55 s</v>
      </c>
      <c r="J51" s="14" t="str">
        <f t="shared" si="41"/>
        <v>18 d 10 h 20 min 02 s</v>
      </c>
      <c r="L51" s="21">
        <f t="shared" si="6"/>
        <v>265429.446</v>
      </c>
      <c r="M51" s="21">
        <f t="shared" si="10"/>
        <v>1592401.676</v>
      </c>
      <c r="O51" s="23">
        <f t="shared" si="11"/>
        <v>1275243000</v>
      </c>
    </row>
    <row r="52" ht="15.75" customHeight="1">
      <c r="B52" s="13">
        <v>51.0</v>
      </c>
      <c r="C52" s="16">
        <f t="shared" si="7"/>
        <v>140129.8464</v>
      </c>
      <c r="D52" s="16">
        <f t="shared" si="8"/>
        <v>49792922.3</v>
      </c>
      <c r="E52" s="16" t="str">
        <f t="shared" si="1"/>
        <v>0 h 05 min 55 s</v>
      </c>
      <c r="F52" s="19">
        <f t="shared" ref="F52:G52" si="60">F51*$A$8</f>
        <v>44633505015</v>
      </c>
      <c r="G52" s="20">
        <f t="shared" si="60"/>
        <v>22316752507</v>
      </c>
      <c r="H52" s="19" t="str">
        <f t="shared" si="3"/>
        <v>88 h 28 min 35 s</v>
      </c>
      <c r="I52" s="20" t="str">
        <f t="shared" si="4"/>
        <v>44 h 14 min 18 s</v>
      </c>
      <c r="J52" s="14" t="str">
        <f t="shared" si="41"/>
        <v>22 d 2 h 48 min 37 s</v>
      </c>
      <c r="L52" s="21">
        <f t="shared" si="6"/>
        <v>318515.3353</v>
      </c>
      <c r="M52" s="21">
        <f t="shared" si="10"/>
        <v>1910917.012</v>
      </c>
      <c r="O52" s="23">
        <f t="shared" si="11"/>
        <v>1912864501</v>
      </c>
    </row>
    <row r="53" ht="15.75" customHeight="1">
      <c r="B53" s="13">
        <v>52.0</v>
      </c>
      <c r="C53" s="16">
        <f t="shared" si="7"/>
        <v>175162.308</v>
      </c>
      <c r="D53" s="16">
        <f t="shared" si="8"/>
        <v>64730798.99</v>
      </c>
      <c r="E53" s="16" t="str">
        <f t="shared" si="1"/>
        <v>0 h 06 min 10 s</v>
      </c>
      <c r="F53" s="19">
        <f t="shared" ref="F53:G53" si="61">F52*$A$8</f>
        <v>66950257522</v>
      </c>
      <c r="G53" s="20">
        <f t="shared" si="61"/>
        <v>33475128761</v>
      </c>
      <c r="H53" s="19" t="str">
        <f t="shared" si="3"/>
        <v>106 h 10 min 18 s</v>
      </c>
      <c r="I53" s="20" t="str">
        <f t="shared" si="4"/>
        <v>53 h 05 min 09 s</v>
      </c>
      <c r="J53" s="14" t="str">
        <f t="shared" si="41"/>
        <v>26 d 12 h 58 min 55 s</v>
      </c>
      <c r="L53" s="21">
        <f t="shared" si="6"/>
        <v>382218.4023</v>
      </c>
      <c r="M53" s="21">
        <f t="shared" si="10"/>
        <v>2293135.414</v>
      </c>
      <c r="O53" s="23">
        <f t="shared" si="11"/>
        <v>2869296751</v>
      </c>
    </row>
    <row r="54" ht="15.75" customHeight="1">
      <c r="B54" s="13">
        <v>53.0</v>
      </c>
      <c r="C54" s="16">
        <f t="shared" si="7"/>
        <v>218952.8851</v>
      </c>
      <c r="D54" s="16">
        <f t="shared" si="8"/>
        <v>84150038.68</v>
      </c>
      <c r="E54" s="16" t="str">
        <f t="shared" si="1"/>
        <v>0 h 06 min 24 s</v>
      </c>
      <c r="F54" s="19">
        <f t="shared" ref="F54:G54" si="62">F53*$A$8</f>
        <v>100425386284</v>
      </c>
      <c r="G54" s="20">
        <f t="shared" si="62"/>
        <v>50212693142</v>
      </c>
      <c r="H54" s="19" t="str">
        <f t="shared" si="3"/>
        <v>127 h 24 min 22 s</v>
      </c>
      <c r="I54" s="20" t="str">
        <f t="shared" si="4"/>
        <v>63 h 42 min 11 s</v>
      </c>
      <c r="J54" s="14" t="str">
        <f t="shared" si="41"/>
        <v>31 d 20 h 23 min 17 s</v>
      </c>
      <c r="L54" s="21">
        <f t="shared" si="6"/>
        <v>458662.0828</v>
      </c>
      <c r="M54" s="21">
        <f t="shared" si="10"/>
        <v>2751797.497</v>
      </c>
      <c r="O54" s="23">
        <f t="shared" si="11"/>
        <v>4303945126</v>
      </c>
    </row>
    <row r="55" ht="15.75" customHeight="1">
      <c r="B55" s="13">
        <v>54.0</v>
      </c>
      <c r="C55" s="16">
        <f t="shared" si="7"/>
        <v>273691.1063</v>
      </c>
      <c r="D55" s="16">
        <f t="shared" si="8"/>
        <v>109395050.3</v>
      </c>
      <c r="E55" s="16" t="str">
        <f t="shared" si="1"/>
        <v>0 h 06 min 40 s</v>
      </c>
      <c r="F55" s="19">
        <f t="shared" ref="F55:G55" si="63">F54*$A$8</f>
        <v>150638079426</v>
      </c>
      <c r="G55" s="20">
        <f t="shared" si="63"/>
        <v>75319039713</v>
      </c>
      <c r="H55" s="19" t="str">
        <f t="shared" si="3"/>
        <v>152 h 53 min 14 s</v>
      </c>
      <c r="I55" s="20" t="str">
        <f t="shared" si="4"/>
        <v>76 h 26 min 37 s</v>
      </c>
      <c r="J55" s="14" t="str">
        <f t="shared" si="41"/>
        <v>38 d 5 h 16 min 32 s</v>
      </c>
      <c r="L55" s="21">
        <f t="shared" si="6"/>
        <v>550394.4993</v>
      </c>
      <c r="M55" s="21">
        <f t="shared" si="10"/>
        <v>3302191.996</v>
      </c>
      <c r="O55" s="23">
        <f t="shared" si="11"/>
        <v>6455917690</v>
      </c>
    </row>
    <row r="56" ht="15.75" customHeight="1">
      <c r="B56" s="13">
        <v>55.0</v>
      </c>
      <c r="C56" s="16">
        <f t="shared" si="7"/>
        <v>342113.8829</v>
      </c>
      <c r="D56" s="16">
        <f t="shared" si="8"/>
        <v>142213565.4</v>
      </c>
      <c r="E56" s="16" t="str">
        <f t="shared" si="1"/>
        <v>0 h 06 min 56 s</v>
      </c>
      <c r="F56" s="19">
        <f t="shared" ref="F56:G56" si="64">F55*$A$8</f>
        <v>225957119138</v>
      </c>
      <c r="G56" s="20">
        <f t="shared" si="64"/>
        <v>112978559569</v>
      </c>
      <c r="H56" s="19" t="str">
        <f t="shared" si="3"/>
        <v>183 h 27 min 53 s</v>
      </c>
      <c r="I56" s="20" t="str">
        <f t="shared" si="4"/>
        <v>91 h 43 min 57 s</v>
      </c>
      <c r="J56" s="14" t="str">
        <f t="shared" si="41"/>
        <v>45 d 20 h 44 min 25 s</v>
      </c>
      <c r="L56" s="21">
        <f t="shared" si="6"/>
        <v>660473.3992</v>
      </c>
      <c r="M56" s="21">
        <f t="shared" si="10"/>
        <v>3962665.395</v>
      </c>
      <c r="O56" s="23">
        <f t="shared" si="11"/>
        <v>9683876535</v>
      </c>
    </row>
    <row r="57" ht="15.75" customHeight="1">
      <c r="B57" s="13">
        <v>56.0</v>
      </c>
      <c r="C57" s="16">
        <f t="shared" si="7"/>
        <v>427642.3536</v>
      </c>
      <c r="D57" s="16">
        <f t="shared" si="8"/>
        <v>184877635</v>
      </c>
      <c r="E57" s="16" t="str">
        <f t="shared" si="1"/>
        <v>0 h 07 min 12 s</v>
      </c>
      <c r="F57" s="19">
        <f t="shared" ref="F57:G57" si="65">F56*$A$8</f>
        <v>338935678708</v>
      </c>
      <c r="G57" s="20">
        <f t="shared" si="65"/>
        <v>169467839354</v>
      </c>
      <c r="H57" s="19" t="str">
        <f t="shared" si="3"/>
        <v>220 h 09 min 28 s</v>
      </c>
      <c r="I57" s="20" t="str">
        <f t="shared" si="4"/>
        <v>110 h 04 min 44 s</v>
      </c>
      <c r="J57" s="14" t="str">
        <f t="shared" si="41"/>
        <v>55 d 0 h 53 min 53 s</v>
      </c>
      <c r="L57" s="21">
        <f t="shared" si="6"/>
        <v>792568.079</v>
      </c>
      <c r="M57" s="21">
        <f t="shared" si="10"/>
        <v>4755233.474</v>
      </c>
      <c r="O57" s="23">
        <f t="shared" si="11"/>
        <v>14525814802</v>
      </c>
    </row>
    <row r="58" ht="15.75" customHeight="1">
      <c r="B58" s="13">
        <v>57.0</v>
      </c>
      <c r="C58" s="16">
        <f t="shared" si="7"/>
        <v>534552.942</v>
      </c>
      <c r="D58" s="16">
        <f t="shared" si="8"/>
        <v>240340925.5</v>
      </c>
      <c r="E58" s="16" t="str">
        <f t="shared" si="1"/>
        <v>0 h 07 min 30 s</v>
      </c>
      <c r="F58" s="19">
        <f t="shared" ref="F58:G58" si="66">F57*$A$8</f>
        <v>508403518061</v>
      </c>
      <c r="G58" s="20">
        <f t="shared" si="66"/>
        <v>254201759031</v>
      </c>
      <c r="H58" s="19" t="str">
        <f t="shared" si="3"/>
        <v>264 h 11 min 22 s</v>
      </c>
      <c r="I58" s="20" t="str">
        <f t="shared" si="4"/>
        <v>132 h 05 min 41 s</v>
      </c>
      <c r="J58" s="14" t="str">
        <f t="shared" si="41"/>
        <v>66 d 1 h 05 min 15 s</v>
      </c>
      <c r="L58" s="21">
        <f t="shared" si="6"/>
        <v>951081.6948</v>
      </c>
      <c r="M58" s="21">
        <f t="shared" si="10"/>
        <v>5706315.169</v>
      </c>
      <c r="O58" s="23">
        <f t="shared" si="11"/>
        <v>21788722203</v>
      </c>
    </row>
    <row r="59" ht="15.75" customHeight="1">
      <c r="B59" s="13">
        <v>58.0</v>
      </c>
      <c r="C59" s="16">
        <f t="shared" si="7"/>
        <v>668191.1775</v>
      </c>
      <c r="D59" s="16">
        <f t="shared" si="8"/>
        <v>312443203.1</v>
      </c>
      <c r="E59" s="16" t="str">
        <f t="shared" si="1"/>
        <v>0 h 07 min 48 s</v>
      </c>
      <c r="F59" s="19">
        <f t="shared" ref="F59:G59" si="67">F58*$A$8</f>
        <v>762605277092</v>
      </c>
      <c r="G59" s="20">
        <f t="shared" si="67"/>
        <v>381302638546</v>
      </c>
      <c r="H59" s="19" t="str">
        <f t="shared" si="3"/>
        <v>317 h 01 min 38 s</v>
      </c>
      <c r="I59" s="20" t="str">
        <f t="shared" si="4"/>
        <v>158 h 30 min 49 s</v>
      </c>
      <c r="J59" s="14" t="str">
        <f t="shared" si="41"/>
        <v>79 d 6 h 06 min 53 s</v>
      </c>
      <c r="L59" s="21">
        <f t="shared" si="6"/>
        <v>1141298.034</v>
      </c>
      <c r="M59" s="21">
        <f t="shared" si="10"/>
        <v>6847613.203</v>
      </c>
      <c r="O59" s="23">
        <f t="shared" si="11"/>
        <v>32683083304</v>
      </c>
    </row>
    <row r="60" ht="15.75" customHeight="1">
      <c r="B60" s="13">
        <v>59.0</v>
      </c>
      <c r="C60" s="16">
        <f t="shared" si="7"/>
        <v>835238.9719</v>
      </c>
      <c r="D60" s="16">
        <f t="shared" si="8"/>
        <v>406176164.1</v>
      </c>
      <c r="E60" s="16" t="str">
        <f t="shared" si="1"/>
        <v>0 h 08 min 06 s</v>
      </c>
      <c r="F60" s="19">
        <f t="shared" ref="F60:G60" si="68">F59*$A$8</f>
        <v>1143907915638</v>
      </c>
      <c r="G60" s="20">
        <f t="shared" si="68"/>
        <v>571953957819</v>
      </c>
      <c r="H60" s="19" t="str">
        <f t="shared" si="3"/>
        <v>380 h 25 min 58 s</v>
      </c>
      <c r="I60" s="20" t="str">
        <f t="shared" si="4"/>
        <v>190 h 12 min 59 s</v>
      </c>
      <c r="J60" s="14" t="str">
        <f t="shared" si="41"/>
        <v>95 d 2 h 32 min 51 s</v>
      </c>
      <c r="L60" s="21">
        <f t="shared" si="6"/>
        <v>1369557.641</v>
      </c>
      <c r="M60" s="21">
        <f t="shared" si="10"/>
        <v>8217170.843</v>
      </c>
      <c r="O60" s="23">
        <f t="shared" si="11"/>
        <v>49024624956</v>
      </c>
    </row>
    <row r="61" ht="15.75" customHeight="1">
      <c r="B61" s="13">
        <v>60.0</v>
      </c>
      <c r="C61" s="16">
        <f t="shared" si="7"/>
        <v>1044048.715</v>
      </c>
      <c r="D61" s="16">
        <f t="shared" si="8"/>
        <v>528029013.3</v>
      </c>
      <c r="E61" s="16" t="str">
        <f t="shared" si="1"/>
        <v>0 h 08 min 26 s</v>
      </c>
      <c r="F61" s="19">
        <f t="shared" ref="F61:G61" si="69">F60*$A$8</f>
        <v>1715861873457</v>
      </c>
      <c r="G61" s="20">
        <f t="shared" si="69"/>
        <v>857930936728</v>
      </c>
      <c r="H61" s="19" t="str">
        <f t="shared" si="3"/>
        <v>456 h 31 min 09 s</v>
      </c>
      <c r="I61" s="20" t="str">
        <f t="shared" si="4"/>
        <v>228 h 15 min 35 s</v>
      </c>
      <c r="J61" s="14" t="str">
        <f t="shared" si="41"/>
        <v>114 d 3 h 04 min 00 s</v>
      </c>
      <c r="L61" s="21">
        <f t="shared" si="6"/>
        <v>1643469.169</v>
      </c>
      <c r="M61" s="21">
        <f t="shared" si="10"/>
        <v>9860640.012</v>
      </c>
      <c r="O61" s="23">
        <f t="shared" si="11"/>
        <v>73536937434</v>
      </c>
    </row>
    <row r="62" ht="15.75" customHeight="1">
      <c r="B62" s="13">
        <v>61.0</v>
      </c>
      <c r="C62" s="16">
        <f t="shared" si="7"/>
        <v>1305060.894</v>
      </c>
      <c r="D62" s="16">
        <f t="shared" si="8"/>
        <v>686437717.3</v>
      </c>
      <c r="E62" s="16" t="str">
        <f t="shared" si="1"/>
        <v>0 h 08 min 46 s</v>
      </c>
      <c r="F62" s="19">
        <f t="shared" ref="F62:G62" si="70">F61*$A$8</f>
        <v>2573792810185</v>
      </c>
      <c r="G62" s="20">
        <f t="shared" si="70"/>
        <v>1286896405093</v>
      </c>
      <c r="H62" s="19" t="str">
        <f t="shared" si="3"/>
        <v>547 h 49 min 23 s</v>
      </c>
      <c r="I62" s="20" t="str">
        <f t="shared" si="4"/>
        <v>273 h 54 min 42 s</v>
      </c>
      <c r="J62" s="14" t="str">
        <f t="shared" si="41"/>
        <v>136 d 22 h 53 min 23 s</v>
      </c>
      <c r="L62" s="21">
        <f t="shared" si="6"/>
        <v>1972163.002</v>
      </c>
      <c r="M62" s="21">
        <f t="shared" si="10"/>
        <v>11832803.01</v>
      </c>
      <c r="O62" s="23">
        <f t="shared" si="11"/>
        <v>110305406151</v>
      </c>
    </row>
    <row r="63" ht="15.75" customHeight="1">
      <c r="B63" s="13">
        <v>62.0</v>
      </c>
      <c r="C63" s="16">
        <f t="shared" si="7"/>
        <v>1631326.117</v>
      </c>
      <c r="D63" s="16">
        <f t="shared" si="8"/>
        <v>892369032.5</v>
      </c>
      <c r="E63" s="16" t="str">
        <f t="shared" si="1"/>
        <v>0 h 09 min 07 s</v>
      </c>
      <c r="F63" s="19">
        <f t="shared" ref="F63:G63" si="71">F62*$A$8</f>
        <v>3860689215278</v>
      </c>
      <c r="G63" s="20">
        <f t="shared" si="71"/>
        <v>1930344607639</v>
      </c>
      <c r="H63" s="19" t="str">
        <f t="shared" si="3"/>
        <v>657 h 23 min 16 s</v>
      </c>
      <c r="I63" s="20" t="str">
        <f t="shared" si="4"/>
        <v>328 h 41 min 38 s</v>
      </c>
      <c r="J63" s="14" t="str">
        <f t="shared" si="41"/>
        <v>164 d 8 h 16 min 39 s</v>
      </c>
      <c r="L63" s="21">
        <f t="shared" si="6"/>
        <v>2366595.603</v>
      </c>
      <c r="M63" s="21">
        <f t="shared" si="10"/>
        <v>14199398.62</v>
      </c>
      <c r="O63" s="23">
        <f t="shared" si="11"/>
        <v>165458109226</v>
      </c>
    </row>
    <row r="64" ht="15.75" customHeight="1">
      <c r="B64" s="13">
        <v>63.0</v>
      </c>
      <c r="C64" s="16">
        <f t="shared" si="7"/>
        <v>2039157.646</v>
      </c>
      <c r="D64" s="16">
        <f t="shared" si="8"/>
        <v>1160079742</v>
      </c>
      <c r="E64" s="16" t="str">
        <f t="shared" si="1"/>
        <v>0 h 09 min 29 s</v>
      </c>
      <c r="F64" s="19">
        <f t="shared" ref="F64:G64" si="72">F63*$A$8</f>
        <v>5791033822917</v>
      </c>
      <c r="G64" s="20">
        <f t="shared" si="72"/>
        <v>2895516911458</v>
      </c>
      <c r="H64" s="19" t="str">
        <f t="shared" si="3"/>
        <v>788 h 51 min 55 s</v>
      </c>
      <c r="I64" s="20" t="str">
        <f t="shared" si="4"/>
        <v>394 h 25 min 57 s</v>
      </c>
      <c r="J64" s="14" t="str">
        <f t="shared" si="41"/>
        <v>197 d 5 h 08 min 33 s</v>
      </c>
      <c r="L64" s="21">
        <f t="shared" si="6"/>
        <v>2839914.723</v>
      </c>
      <c r="M64" s="21">
        <f t="shared" si="10"/>
        <v>17039313.34</v>
      </c>
      <c r="O64" s="23">
        <f t="shared" si="11"/>
        <v>248187163839</v>
      </c>
    </row>
    <row r="65" ht="15.75" customHeight="1">
      <c r="B65" s="13">
        <v>64.0</v>
      </c>
      <c r="C65" s="16">
        <f t="shared" si="7"/>
        <v>2548947.058</v>
      </c>
      <c r="D65" s="16">
        <f t="shared" si="8"/>
        <v>1508103665</v>
      </c>
      <c r="E65" s="16" t="str">
        <f t="shared" si="1"/>
        <v>0 h 09 min 52 s</v>
      </c>
      <c r="F65" s="19">
        <f t="shared" ref="F65:G65" si="73">F64*$A$8</f>
        <v>8686550734375</v>
      </c>
      <c r="G65" s="20">
        <f t="shared" si="73"/>
        <v>4343275367188</v>
      </c>
      <c r="H65" s="19" t="str">
        <f t="shared" si="3"/>
        <v>946 h 38 min 18 s</v>
      </c>
      <c r="I65" s="20" t="str">
        <f t="shared" si="4"/>
        <v>473 h 19 min 09 s</v>
      </c>
      <c r="J65" s="14" t="str">
        <f t="shared" si="41"/>
        <v>236 d 15 h 46 min 51 s</v>
      </c>
      <c r="L65" s="21">
        <f t="shared" si="6"/>
        <v>3407897.668</v>
      </c>
      <c r="M65" s="21">
        <f t="shared" si="10"/>
        <v>20447211.01</v>
      </c>
      <c r="O65" s="23">
        <f t="shared" si="11"/>
        <v>372280745759</v>
      </c>
    </row>
    <row r="66" ht="15.75" customHeight="1">
      <c r="B66" s="13">
        <v>65.0</v>
      </c>
      <c r="C66" s="16">
        <f t="shared" si="7"/>
        <v>3186183.822</v>
      </c>
      <c r="D66" s="16">
        <f t="shared" si="8"/>
        <v>1960534764</v>
      </c>
      <c r="E66" s="16" t="str">
        <f t="shared" si="1"/>
        <v>0 h 10 min 15 s</v>
      </c>
      <c r="F66" s="19">
        <f t="shared" ref="F66:G66" si="74">F65*$A$8</f>
        <v>13029826101563</v>
      </c>
      <c r="G66" s="20">
        <f t="shared" si="74"/>
        <v>6514913050782</v>
      </c>
      <c r="H66" s="19" t="str">
        <f t="shared" si="3"/>
        <v>1135 h 57 min 57 s</v>
      </c>
      <c r="I66" s="20" t="str">
        <f t="shared" si="4"/>
        <v>567 h 58 min 59 s</v>
      </c>
      <c r="J66" s="14" t="str">
        <f t="shared" si="41"/>
        <v>283 d 23 h 44 min 48 s</v>
      </c>
      <c r="L66" s="21">
        <f t="shared" si="6"/>
        <v>4089477.202</v>
      </c>
      <c r="M66" s="21">
        <f t="shared" si="10"/>
        <v>24536688.21</v>
      </c>
      <c r="O66" s="23">
        <f t="shared" si="11"/>
        <v>558421118638</v>
      </c>
    </row>
    <row r="67" ht="15.75" customHeight="1">
      <c r="B67" s="13">
        <v>66.0</v>
      </c>
      <c r="C67" s="16">
        <f t="shared" si="7"/>
        <v>3982729.778</v>
      </c>
      <c r="D67" s="16">
        <f t="shared" si="8"/>
        <v>2548695194</v>
      </c>
      <c r="E67" s="16" t="str">
        <f t="shared" si="1"/>
        <v>0 h 10 min 40 s</v>
      </c>
      <c r="F67" s="19">
        <f t="shared" ref="F67:G67" si="75">F66*$A$8</f>
        <v>19544739152345</v>
      </c>
      <c r="G67" s="20">
        <f t="shared" si="75"/>
        <v>9772369576172</v>
      </c>
      <c r="H67" s="19" t="str">
        <f t="shared" si="3"/>
        <v>1363 h 09 min 33 s</v>
      </c>
      <c r="I67" s="20" t="str">
        <f t="shared" si="4"/>
        <v>681 h 34 min 46 s</v>
      </c>
      <c r="J67" s="14" t="str">
        <f t="shared" si="41"/>
        <v>340 d 18 h 54 min 21 s</v>
      </c>
      <c r="L67" s="21">
        <f t="shared" si="6"/>
        <v>4907372.642</v>
      </c>
      <c r="M67" s="21">
        <f t="shared" si="10"/>
        <v>29444060.85</v>
      </c>
      <c r="O67" s="23">
        <f t="shared" si="11"/>
        <v>837631677958</v>
      </c>
    </row>
    <row r="68" ht="15.75" customHeight="1">
      <c r="B68" s="13">
        <v>67.0</v>
      </c>
      <c r="C68" s="16">
        <f t="shared" si="7"/>
        <v>4978412.222</v>
      </c>
      <c r="D68" s="16">
        <f t="shared" si="8"/>
        <v>3313303752</v>
      </c>
      <c r="E68" s="16" t="str">
        <f t="shared" si="1"/>
        <v>0 h 11 min 06 s</v>
      </c>
      <c r="F68" s="19">
        <f t="shared" ref="F68:G68" si="76">F67*$A$8</f>
        <v>29317108728517</v>
      </c>
      <c r="G68" s="20">
        <f t="shared" si="76"/>
        <v>14658554364259</v>
      </c>
      <c r="H68" s="19" t="str">
        <f t="shared" si="3"/>
        <v>1635 h 47 min 27 s</v>
      </c>
      <c r="I68" s="20" t="str">
        <f t="shared" si="4"/>
        <v>817 h 53 min 44 s</v>
      </c>
      <c r="J68" s="14" t="str">
        <f t="shared" si="41"/>
        <v>408 d 22 h 41 min 48 s</v>
      </c>
      <c r="L68" s="21">
        <f t="shared" si="6"/>
        <v>5888847.17</v>
      </c>
      <c r="M68" s="21">
        <f t="shared" si="10"/>
        <v>35332908.02</v>
      </c>
      <c r="O68" s="23">
        <f t="shared" si="11"/>
        <v>1256447516936</v>
      </c>
    </row>
    <row r="69" ht="15.75" customHeight="1">
      <c r="B69" s="13">
        <v>68.0</v>
      </c>
      <c r="C69" s="16">
        <f t="shared" si="7"/>
        <v>6223015.278</v>
      </c>
      <c r="D69" s="16">
        <f t="shared" si="8"/>
        <v>4307294877</v>
      </c>
      <c r="E69" s="16" t="str">
        <f t="shared" si="1"/>
        <v>0 h 11 min 32 s</v>
      </c>
      <c r="F69" s="19">
        <f t="shared" ref="F69:G69" si="77">F68*$A$8</f>
        <v>43975663092776</v>
      </c>
      <c r="G69" s="20">
        <f t="shared" si="77"/>
        <v>21987831546388</v>
      </c>
      <c r="H69" s="19" t="str">
        <f t="shared" si="3"/>
        <v>1962 h 56 min 57 s</v>
      </c>
      <c r="I69" s="20" t="str">
        <f t="shared" si="4"/>
        <v>981 h 28 min 28 s</v>
      </c>
      <c r="J69" s="14" t="str">
        <f t="shared" si="41"/>
        <v>490 d 17 h 38 min 45 s</v>
      </c>
      <c r="L69" s="21">
        <f t="shared" si="6"/>
        <v>7066616.605</v>
      </c>
      <c r="M69" s="21">
        <f t="shared" si="10"/>
        <v>42399524.63</v>
      </c>
      <c r="O69" s="23">
        <f t="shared" si="11"/>
        <v>1884671275405</v>
      </c>
    </row>
    <row r="70" ht="15.75" customHeight="1">
      <c r="B70" s="13">
        <v>69.0</v>
      </c>
      <c r="C70" s="16">
        <f t="shared" si="7"/>
        <v>7778769.097</v>
      </c>
      <c r="D70" s="16">
        <f t="shared" si="8"/>
        <v>5599483340</v>
      </c>
      <c r="E70" s="16" t="str">
        <f t="shared" si="1"/>
        <v>0 h 12 min 00 s</v>
      </c>
      <c r="F70" s="19">
        <f t="shared" ref="F70:G70" si="78">F69*$A$8</f>
        <v>65963494639163</v>
      </c>
      <c r="G70" s="20">
        <f t="shared" si="78"/>
        <v>32981747319582</v>
      </c>
      <c r="H70" s="19" t="str">
        <f t="shared" si="3"/>
        <v>2355 h 32 min 20 s</v>
      </c>
      <c r="I70" s="20" t="str">
        <f t="shared" si="4"/>
        <v>1177 h 46 min 10 s</v>
      </c>
      <c r="J70" s="14" t="str">
        <f t="shared" si="41"/>
        <v>588 d 21 h 11 min 05 s</v>
      </c>
      <c r="L70" s="21">
        <f t="shared" si="6"/>
        <v>8479939.925</v>
      </c>
      <c r="M70" s="21">
        <f t="shared" si="10"/>
        <v>50879464.55</v>
      </c>
      <c r="O70" s="23">
        <f t="shared" si="11"/>
        <v>2827006913107</v>
      </c>
    </row>
    <row r="71" ht="15.75" customHeight="1">
      <c r="B71" s="13">
        <v>70.0</v>
      </c>
      <c r="C71" s="16">
        <f t="shared" si="7"/>
        <v>9723461.372</v>
      </c>
      <c r="D71" s="16">
        <f t="shared" si="8"/>
        <v>7279328342</v>
      </c>
      <c r="E71" s="16" t="str">
        <f t="shared" si="1"/>
        <v>0 h 12 min 29 s</v>
      </c>
      <c r="F71" s="19">
        <f t="shared" ref="F71:G71" si="79">F70*$A$8</f>
        <v>98945241958745</v>
      </c>
      <c r="G71" s="20">
        <f t="shared" si="79"/>
        <v>49472620979373</v>
      </c>
      <c r="H71" s="19" t="str">
        <f t="shared" si="3"/>
        <v>2826 h 38 min 48 s</v>
      </c>
      <c r="I71" s="20" t="str">
        <f t="shared" si="4"/>
        <v>1413 h 19 min 24 s</v>
      </c>
      <c r="J71" s="14" t="str">
        <f t="shared" si="41"/>
        <v>706 d 15 h 49 min 52 s</v>
      </c>
      <c r="L71" s="21">
        <f t="shared" si="6"/>
        <v>10175927.91</v>
      </c>
      <c r="M71" s="21">
        <f t="shared" si="10"/>
        <v>61055392.46</v>
      </c>
      <c r="O71" s="23">
        <f t="shared" si="11"/>
        <v>4240510369661</v>
      </c>
    </row>
    <row r="72" ht="15.75" customHeight="1">
      <c r="B72" s="13">
        <v>71.0</v>
      </c>
      <c r="C72" s="16">
        <f t="shared" si="7"/>
        <v>12154326.71</v>
      </c>
      <c r="D72" s="16">
        <f t="shared" si="8"/>
        <v>9463126845</v>
      </c>
      <c r="E72" s="16" t="str">
        <f t="shared" si="1"/>
        <v>0 h 12 min 59 s</v>
      </c>
      <c r="F72" s="19">
        <f t="shared" ref="F72:G72" si="80">F71*$A$8</f>
        <v>148417862938118</v>
      </c>
      <c r="G72" s="20">
        <f t="shared" si="80"/>
        <v>74208931469059</v>
      </c>
      <c r="H72" s="19" t="str">
        <f t="shared" si="3"/>
        <v>3391 h 58 min 33 s</v>
      </c>
      <c r="I72" s="20" t="str">
        <f t="shared" si="4"/>
        <v>1695 h 59 min 17 s</v>
      </c>
      <c r="J72" s="14" t="str">
        <f t="shared" si="41"/>
        <v>847 d 23 h 48 min 26 s</v>
      </c>
      <c r="L72" s="21">
        <f t="shared" si="6"/>
        <v>12211113.49</v>
      </c>
      <c r="M72" s="21">
        <f t="shared" si="10"/>
        <v>73266505.96</v>
      </c>
      <c r="O72" s="23">
        <f t="shared" si="11"/>
        <v>6360765554491</v>
      </c>
    </row>
    <row r="73" ht="15.75" customHeight="1">
      <c r="B73" s="13">
        <v>72.0</v>
      </c>
      <c r="C73" s="16">
        <f t="shared" si="7"/>
        <v>15192908.39</v>
      </c>
      <c r="D73" s="16">
        <f t="shared" si="8"/>
        <v>12302064899</v>
      </c>
      <c r="E73" s="16" t="str">
        <f t="shared" si="1"/>
        <v>0 h 13 min 30 s</v>
      </c>
      <c r="F73" s="19">
        <f t="shared" ref="F73:G73" si="81">F72*$A$8</f>
        <v>222626794407177</v>
      </c>
      <c r="G73" s="20">
        <f t="shared" si="81"/>
        <v>111313397203588</v>
      </c>
      <c r="H73" s="19" t="str">
        <f t="shared" si="3"/>
        <v>4070 h 22 min 16 s</v>
      </c>
      <c r="I73" s="20" t="str">
        <f t="shared" si="4"/>
        <v>2035 h 11 min 08 s</v>
      </c>
      <c r="J73" s="14" t="str">
        <f t="shared" si="41"/>
        <v>1017 d 14 h 10 min 42 s</v>
      </c>
      <c r="L73" s="21">
        <f t="shared" si="6"/>
        <v>14653336.19</v>
      </c>
      <c r="M73" s="21">
        <f t="shared" si="10"/>
        <v>87919842.15</v>
      </c>
      <c r="O73" s="23">
        <f t="shared" si="11"/>
        <v>9541148331736</v>
      </c>
    </row>
    <row r="74" ht="15.75" customHeight="1">
      <c r="B74" s="13">
        <v>73.0</v>
      </c>
      <c r="C74" s="16">
        <f t="shared" si="7"/>
        <v>18991135.49</v>
      </c>
      <c r="D74" s="16">
        <f t="shared" si="8"/>
        <v>15992684368</v>
      </c>
      <c r="E74" s="16" t="str">
        <f t="shared" si="1"/>
        <v>0 h 14 min 02 s</v>
      </c>
      <c r="F74" s="19">
        <f t="shared" ref="F74:G74" si="82">F73*$A$8</f>
        <v>333940191610765</v>
      </c>
      <c r="G74" s="20">
        <f t="shared" si="82"/>
        <v>166970095805382</v>
      </c>
      <c r="H74" s="19" t="str">
        <f t="shared" si="3"/>
        <v>4884 h 26 min 43 s</v>
      </c>
      <c r="I74" s="20" t="str">
        <f t="shared" si="4"/>
        <v>2442 h 13 min 22 s</v>
      </c>
      <c r="J74" s="14" t="str">
        <f t="shared" si="41"/>
        <v>1221 d 2 h 37 min 26 s</v>
      </c>
      <c r="L74" s="21">
        <f t="shared" si="6"/>
        <v>17584003.43</v>
      </c>
      <c r="M74" s="21">
        <f t="shared" si="10"/>
        <v>105503845.6</v>
      </c>
      <c r="O74" s="23">
        <f t="shared" si="11"/>
        <v>14311722497604</v>
      </c>
    </row>
    <row r="75" ht="15.75" customHeight="1">
      <c r="B75" s="13">
        <v>74.0</v>
      </c>
      <c r="C75" s="16">
        <f t="shared" si="7"/>
        <v>23738919.36</v>
      </c>
      <c r="D75" s="16">
        <f t="shared" si="8"/>
        <v>20790489679</v>
      </c>
      <c r="E75" s="16" t="str">
        <f t="shared" si="1"/>
        <v>0 h 14 min 36 s</v>
      </c>
      <c r="F75" s="19">
        <f t="shared" ref="F75:G75" si="83">F74*$A$8</f>
        <v>500910287416147</v>
      </c>
      <c r="G75" s="20">
        <f t="shared" si="83"/>
        <v>250455143708074</v>
      </c>
      <c r="H75" s="19" t="str">
        <f t="shared" si="3"/>
        <v>5861 h 20 min 04 s</v>
      </c>
      <c r="I75" s="20" t="str">
        <f t="shared" si="4"/>
        <v>2930 h 40 min 02 s</v>
      </c>
      <c r="J75" s="14" t="str">
        <f t="shared" si="41"/>
        <v>1465 d 7 h 57 min 30 s</v>
      </c>
      <c r="L75" s="21">
        <f t="shared" si="6"/>
        <v>21100804.12</v>
      </c>
      <c r="M75" s="21">
        <f t="shared" si="10"/>
        <v>126604649.7</v>
      </c>
      <c r="O75" s="23">
        <f t="shared" si="11"/>
        <v>21467583746406</v>
      </c>
    </row>
    <row r="76" ht="15.75" customHeight="1">
      <c r="B76" s="13">
        <v>75.0</v>
      </c>
      <c r="C76" s="16">
        <f t="shared" si="7"/>
        <v>29673649.21</v>
      </c>
      <c r="D76" s="16">
        <f t="shared" si="8"/>
        <v>27027636582</v>
      </c>
      <c r="E76" s="16" t="str">
        <f t="shared" si="1"/>
        <v>0 h 15 min 11 s</v>
      </c>
      <c r="F76" s="19">
        <f t="shared" ref="F76:G76" si="84">F75*$A$8</f>
        <v>751365431124221</v>
      </c>
      <c r="G76" s="20">
        <f t="shared" si="84"/>
        <v>375682715562110</v>
      </c>
      <c r="H76" s="19" t="str">
        <f t="shared" si="3"/>
        <v>7033 h 36 min 05 s</v>
      </c>
      <c r="I76" s="20" t="str">
        <f t="shared" si="4"/>
        <v>3516 h 48 min 02 s</v>
      </c>
      <c r="J76" s="14" t="str">
        <f t="shared" si="41"/>
        <v>1758 d 9 h 33 min 35 s</v>
      </c>
      <c r="L76" s="21">
        <f t="shared" si="6"/>
        <v>25320964.94</v>
      </c>
      <c r="M76" s="21">
        <f t="shared" si="10"/>
        <v>151925614.6</v>
      </c>
      <c r="O76" s="23">
        <f t="shared" si="11"/>
        <v>32201375619610</v>
      </c>
    </row>
    <row r="77" ht="15.75" customHeight="1">
      <c r="B77" s="13">
        <v>76.0</v>
      </c>
      <c r="C77" s="16">
        <f t="shared" si="7"/>
        <v>37092061.51</v>
      </c>
      <c r="D77" s="16">
        <f t="shared" si="8"/>
        <v>35135927557</v>
      </c>
      <c r="E77" s="16" t="str">
        <f t="shared" si="1"/>
        <v>0 h 15 min 47 s</v>
      </c>
      <c r="F77" s="19">
        <f t="shared" ref="F77:G77" si="85">F76*$A$8</f>
        <v>1.12705E+15</v>
      </c>
      <c r="G77" s="20">
        <f t="shared" si="85"/>
        <v>563524073343166</v>
      </c>
      <c r="H77" s="19" t="str">
        <f t="shared" si="3"/>
        <v>8440 h 19 min 18 s</v>
      </c>
      <c r="I77" s="20" t="str">
        <f t="shared" si="4"/>
        <v>4220 h 09 min 39 s</v>
      </c>
      <c r="J77" s="14" t="str">
        <f t="shared" si="41"/>
        <v>2110 d 1 h 52 min 53 s</v>
      </c>
      <c r="L77" s="21">
        <f t="shared" si="6"/>
        <v>30385157.93</v>
      </c>
      <c r="M77" s="21">
        <f t="shared" si="10"/>
        <v>182310772.6</v>
      </c>
      <c r="O77" s="23">
        <f t="shared" si="11"/>
        <v>48302063429414</v>
      </c>
    </row>
    <row r="78" ht="15.75" customHeight="1">
      <c r="B78" s="13">
        <v>77.0</v>
      </c>
      <c r="C78" s="16">
        <f t="shared" si="7"/>
        <v>46365076.88</v>
      </c>
      <c r="D78" s="16">
        <f t="shared" si="8"/>
        <v>45676705824</v>
      </c>
      <c r="E78" s="16" t="str">
        <f t="shared" si="1"/>
        <v>0 h 16 min 25 s</v>
      </c>
      <c r="F78" s="19">
        <f t="shared" ref="F78:G78" si="86">F77*$A$8</f>
        <v>1.69057E+15</v>
      </c>
      <c r="G78" s="20">
        <f t="shared" si="86"/>
        <v>845286110014748</v>
      </c>
      <c r="H78" s="19" t="str">
        <f t="shared" si="3"/>
        <v>10128 h 23 min 10 s</v>
      </c>
      <c r="I78" s="20" t="str">
        <f t="shared" si="4"/>
        <v>5064 h 11 min 35 s</v>
      </c>
      <c r="J78" s="14" t="str">
        <f t="shared" si="41"/>
        <v>2532 d 2 h 16 min 02 s</v>
      </c>
      <c r="L78" s="21">
        <f t="shared" si="6"/>
        <v>36462189.51</v>
      </c>
      <c r="M78" s="21">
        <f t="shared" si="10"/>
        <v>218772962.1</v>
      </c>
      <c r="O78" s="23">
        <f t="shared" si="11"/>
        <v>72453095144121</v>
      </c>
    </row>
    <row r="79" ht="15.75" customHeight="1">
      <c r="B79" s="13">
        <v>78.0</v>
      </c>
      <c r="C79" s="16">
        <f t="shared" si="7"/>
        <v>57956346.1</v>
      </c>
      <c r="D79" s="16">
        <f t="shared" si="8"/>
        <v>59379717572</v>
      </c>
      <c r="E79" s="16" t="str">
        <f t="shared" si="1"/>
        <v>0 h 17 min 05 s</v>
      </c>
      <c r="F79" s="19">
        <f t="shared" ref="F79:G79" si="87">F78*$A$8</f>
        <v>2.53586E+15</v>
      </c>
      <c r="G79" s="20">
        <f t="shared" si="87"/>
        <v>1.26793E+15</v>
      </c>
      <c r="H79" s="19" t="str">
        <f t="shared" si="3"/>
        <v>12154 h 03 min 47 s</v>
      </c>
      <c r="I79" s="20" t="str">
        <f t="shared" si="4"/>
        <v>6077 h 01 min 54 s</v>
      </c>
      <c r="J79" s="14" t="str">
        <f t="shared" si="41"/>
        <v>3038 d 12 h 19 min 49 s</v>
      </c>
      <c r="L79" s="21">
        <f t="shared" si="6"/>
        <v>43754627.41</v>
      </c>
      <c r="M79" s="21">
        <f t="shared" si="10"/>
        <v>262527589.5</v>
      </c>
      <c r="O79" s="23">
        <f t="shared" si="11"/>
        <v>108679642716182</v>
      </c>
    </row>
    <row r="80" ht="15.75" customHeight="1">
      <c r="B80" s="13">
        <v>79.0</v>
      </c>
      <c r="C80" s="16">
        <f t="shared" si="7"/>
        <v>72445432.63</v>
      </c>
      <c r="D80" s="16">
        <f t="shared" si="8"/>
        <v>77193632843</v>
      </c>
      <c r="E80" s="16" t="str">
        <f t="shared" si="1"/>
        <v>0 h 17 min 46 s</v>
      </c>
      <c r="F80" s="19">
        <f t="shared" ref="F80:G80" si="88">F79*$A$8</f>
        <v>3.80379E+15</v>
      </c>
      <c r="G80" s="20">
        <f t="shared" si="88"/>
        <v>1.90189E+15</v>
      </c>
      <c r="H80" s="19" t="str">
        <f t="shared" si="3"/>
        <v>14584 h 52 min 33 s</v>
      </c>
      <c r="I80" s="20" t="str">
        <f t="shared" si="4"/>
        <v>7292 h 26 min 16 s</v>
      </c>
      <c r="J80" s="14" t="str">
        <f t="shared" si="41"/>
        <v>3646 d 5 h 12 min 22 s</v>
      </c>
      <c r="L80" s="21">
        <f t="shared" si="6"/>
        <v>52505552.9</v>
      </c>
      <c r="M80" s="21">
        <f t="shared" si="10"/>
        <v>315033142.4</v>
      </c>
      <c r="O80" s="23">
        <f t="shared" si="11"/>
        <v>163019464074273</v>
      </c>
    </row>
    <row r="81" ht="15.75" customHeight="1">
      <c r="B81" s="13">
        <v>80.0</v>
      </c>
      <c r="C81" s="16">
        <f t="shared" si="7"/>
        <v>90556790.79</v>
      </c>
      <c r="D81" s="16">
        <f t="shared" si="8"/>
        <v>100351722696</v>
      </c>
      <c r="E81" s="16" t="str">
        <f t="shared" si="1"/>
        <v>0 h 18 min 28 s</v>
      </c>
      <c r="F81" s="19">
        <f t="shared" ref="F81:G81" si="89">F80*$A$8</f>
        <v>5.70568E+15</v>
      </c>
      <c r="G81" s="20">
        <f t="shared" si="89"/>
        <v>2.85284E+15</v>
      </c>
      <c r="H81" s="19" t="str">
        <f t="shared" si="3"/>
        <v>17501 h 51 min 03 s</v>
      </c>
      <c r="I81" s="20" t="str">
        <f t="shared" si="4"/>
        <v>8750 h 55 min 32 s</v>
      </c>
      <c r="J81" s="14" t="str">
        <f t="shared" si="41"/>
        <v>4375 d 11 h 03 min 26 s</v>
      </c>
      <c r="L81" s="21">
        <f t="shared" si="6"/>
        <v>63006663.48</v>
      </c>
      <c r="M81" s="21">
        <f t="shared" si="10"/>
        <v>378039805.9</v>
      </c>
      <c r="O81" s="23">
        <f t="shared" si="11"/>
        <v>244529196111409</v>
      </c>
    </row>
    <row r="82" ht="15.75" customHeight="1">
      <c r="B82" s="13">
        <v>81.0</v>
      </c>
      <c r="C82" s="16">
        <f t="shared" si="7"/>
        <v>113195988.5</v>
      </c>
      <c r="D82" s="16">
        <f t="shared" si="8"/>
        <v>130457239505</v>
      </c>
      <c r="E82" s="16" t="str">
        <f t="shared" si="1"/>
        <v>0 h 19 min 12 s</v>
      </c>
      <c r="F82" s="19">
        <f t="shared" ref="F82:G82" si="90">F81*$A$8</f>
        <v>8.55852E+15</v>
      </c>
      <c r="G82" s="20">
        <f t="shared" si="90"/>
        <v>4.27926E+15</v>
      </c>
      <c r="H82" s="19" t="str">
        <f t="shared" si="3"/>
        <v>21002 h 13 min 16 s</v>
      </c>
      <c r="I82" s="20" t="str">
        <f t="shared" si="4"/>
        <v>10501 h 06 min 38 s</v>
      </c>
      <c r="J82" s="14" t="str">
        <f t="shared" si="41"/>
        <v>5250 d 13 h 16 min 42 s</v>
      </c>
      <c r="L82" s="21">
        <f t="shared" si="6"/>
        <v>75607996.17</v>
      </c>
      <c r="M82" s="21">
        <f t="shared" si="10"/>
        <v>453647802</v>
      </c>
      <c r="O82" s="23">
        <f t="shared" si="11"/>
        <v>366793794167114</v>
      </c>
    </row>
    <row r="83" ht="15.75" customHeight="1">
      <c r="B83" s="13">
        <v>82.0</v>
      </c>
      <c r="C83" s="16">
        <f t="shared" si="7"/>
        <v>141494985.6</v>
      </c>
      <c r="D83" s="16">
        <f t="shared" si="8"/>
        <v>169594411357</v>
      </c>
      <c r="E83" s="16" t="str">
        <f t="shared" si="1"/>
        <v>0 h 19 min 59 s</v>
      </c>
      <c r="F83" s="19">
        <f t="shared" ref="F83:G83" si="91">F82*$A$8</f>
        <v>1.28378E+16</v>
      </c>
      <c r="G83" s="20">
        <f t="shared" si="91"/>
        <v>6.41889E+15</v>
      </c>
      <c r="H83" s="19" t="str">
        <f t="shared" si="3"/>
        <v>25202 h 39 min 55 s</v>
      </c>
      <c r="I83" s="20" t="str">
        <f t="shared" si="4"/>
        <v>12601 h 19 min 58 s</v>
      </c>
      <c r="J83" s="14" t="str">
        <f t="shared" si="41"/>
        <v>6300 d 15 h 56 min 37 s</v>
      </c>
      <c r="L83" s="21">
        <f t="shared" si="6"/>
        <v>90729595.4</v>
      </c>
      <c r="M83" s="21">
        <f t="shared" si="10"/>
        <v>544377397.4</v>
      </c>
      <c r="O83" s="23">
        <f t="shared" si="11"/>
        <v>550190691250671</v>
      </c>
    </row>
    <row r="84" ht="15.75" customHeight="1">
      <c r="B84" s="13">
        <v>83.0</v>
      </c>
      <c r="C84" s="16">
        <f t="shared" si="7"/>
        <v>176868732</v>
      </c>
      <c r="D84" s="16">
        <f t="shared" si="8"/>
        <v>220472734764</v>
      </c>
      <c r="E84" s="16" t="str">
        <f t="shared" si="1"/>
        <v>0 h 20 min 47 s</v>
      </c>
      <c r="F84" s="19">
        <f t="shared" ref="F84:G84" si="92">F83*$A$8</f>
        <v>1.92567E+16</v>
      </c>
      <c r="G84" s="20">
        <f t="shared" si="92"/>
        <v>9.62834E+15</v>
      </c>
      <c r="H84" s="19" t="str">
        <f t="shared" si="3"/>
        <v>30243 h 11 min 54 s</v>
      </c>
      <c r="I84" s="20" t="str">
        <f t="shared" si="4"/>
        <v>15121 h 35 min 57 s</v>
      </c>
      <c r="J84" s="14" t="str">
        <f t="shared" si="41"/>
        <v>7560 d 19 h 08 min 32 s</v>
      </c>
      <c r="L84" s="21">
        <f t="shared" si="6"/>
        <v>108875514.5</v>
      </c>
      <c r="M84" s="21">
        <f t="shared" si="10"/>
        <v>653252911.9</v>
      </c>
      <c r="O84" s="23">
        <f t="shared" si="11"/>
        <v>825286036876007</v>
      </c>
    </row>
    <row r="85" ht="15.75" customHeight="1">
      <c r="B85" s="13">
        <v>84.0</v>
      </c>
      <c r="C85" s="16">
        <f t="shared" si="7"/>
        <v>221085915</v>
      </c>
      <c r="D85" s="16">
        <f t="shared" si="8"/>
        <v>286614555193</v>
      </c>
      <c r="E85" s="16" t="str">
        <f t="shared" si="1"/>
        <v>0 h 21 min 36 s</v>
      </c>
      <c r="F85" s="19">
        <f t="shared" ref="F85:G85" si="93">F84*$A$8</f>
        <v>2.8885E+16</v>
      </c>
      <c r="G85" s="20">
        <f t="shared" si="93"/>
        <v>1.44425E+16</v>
      </c>
      <c r="H85" s="19" t="str">
        <f t="shared" si="3"/>
        <v>36291 h 50 min 17 s</v>
      </c>
      <c r="I85" s="20" t="str">
        <f t="shared" si="4"/>
        <v>18145 h 55 min 09 s</v>
      </c>
      <c r="J85" s="14" t="str">
        <f t="shared" si="41"/>
        <v>9072 d 22 h 58 min 49 s</v>
      </c>
      <c r="L85" s="21">
        <f t="shared" si="6"/>
        <v>130650617.4</v>
      </c>
      <c r="M85" s="21">
        <f t="shared" si="10"/>
        <v>783903529.3</v>
      </c>
      <c r="O85" s="23">
        <f t="shared" si="11"/>
        <v>1.23793E+15</v>
      </c>
    </row>
    <row r="86" ht="15.75" customHeight="1">
      <c r="B86" s="13">
        <v>85.0</v>
      </c>
      <c r="C86" s="16">
        <f t="shared" si="7"/>
        <v>276357393.8</v>
      </c>
      <c r="D86" s="16">
        <f t="shared" si="8"/>
        <v>372598921751</v>
      </c>
      <c r="E86" s="16" t="str">
        <f t="shared" si="1"/>
        <v>0 h 22 min 28 s</v>
      </c>
      <c r="F86" s="19">
        <f t="shared" ref="F86:G86" si="94">F85*$A$8</f>
        <v>4.33275E+16</v>
      </c>
      <c r="G86" s="20">
        <f t="shared" si="94"/>
        <v>2.16638E+16</v>
      </c>
      <c r="H86" s="19" t="str">
        <f t="shared" si="3"/>
        <v>43550 h 12 min 21 s</v>
      </c>
      <c r="I86" s="20" t="str">
        <f t="shared" si="4"/>
        <v>21775 h 06 min 10 s</v>
      </c>
      <c r="J86" s="14" t="str">
        <f t="shared" si="41"/>
        <v>10887 d 13 h 11 min 10 s</v>
      </c>
      <c r="L86" s="21">
        <f t="shared" si="6"/>
        <v>156780740.9</v>
      </c>
      <c r="M86" s="21">
        <f t="shared" si="10"/>
        <v>940684270.2</v>
      </c>
      <c r="O86" s="23">
        <f t="shared" si="11"/>
        <v>1.85689E+15</v>
      </c>
    </row>
    <row r="87" ht="15.75" customHeight="1">
      <c r="B87" s="13">
        <v>86.0</v>
      </c>
      <c r="C87" s="16">
        <f t="shared" si="7"/>
        <v>345446742.2</v>
      </c>
      <c r="D87" s="16">
        <f t="shared" si="8"/>
        <v>484378598276</v>
      </c>
      <c r="E87" s="16" t="str">
        <f t="shared" si="1"/>
        <v>0 h 23 min 22 s</v>
      </c>
      <c r="F87" s="19">
        <f t="shared" ref="F87:G87" si="95">F86*$A$8</f>
        <v>6.49913E+16</v>
      </c>
      <c r="G87" s="20">
        <f t="shared" si="95"/>
        <v>3.24956E+16</v>
      </c>
      <c r="H87" s="19" t="str">
        <f t="shared" si="3"/>
        <v>52260 h 14 min 49 s</v>
      </c>
      <c r="I87" s="20" t="str">
        <f t="shared" si="4"/>
        <v>26130 h 07 min 25 s</v>
      </c>
      <c r="J87" s="14" t="str">
        <f t="shared" si="41"/>
        <v>13065 d 1 h 25 min 59 s</v>
      </c>
      <c r="L87" s="21">
        <f t="shared" si="6"/>
        <v>188136889</v>
      </c>
      <c r="M87" s="21">
        <f t="shared" si="10"/>
        <v>1128821159</v>
      </c>
      <c r="O87" s="23">
        <f t="shared" si="11"/>
        <v>2.78534E+15</v>
      </c>
    </row>
    <row r="88" ht="15.75" customHeight="1">
      <c r="B88" s="13">
        <v>87.0</v>
      </c>
      <c r="C88" s="16">
        <f t="shared" si="7"/>
        <v>431808427.8</v>
      </c>
      <c r="D88" s="16">
        <f t="shared" si="8"/>
        <v>629692177759</v>
      </c>
      <c r="E88" s="16" t="str">
        <f t="shared" si="1"/>
        <v>0 h 24 min 18 s</v>
      </c>
      <c r="F88" s="19">
        <f t="shared" ref="F88:G88" si="96">F87*$A$8</f>
        <v>9.74869E+16</v>
      </c>
      <c r="G88" s="20">
        <f t="shared" si="96"/>
        <v>4.87435E+16</v>
      </c>
      <c r="H88" s="19" t="str">
        <f t="shared" si="3"/>
        <v>62712 h 17 min 47 s</v>
      </c>
      <c r="I88" s="20" t="str">
        <f t="shared" si="4"/>
        <v>31356 h 08 min 53 s</v>
      </c>
      <c r="J88" s="14" t="str">
        <f t="shared" si="41"/>
        <v>15678 d 1 h 43 min 46 s</v>
      </c>
      <c r="L88" s="21">
        <f t="shared" si="6"/>
        <v>225764266.8</v>
      </c>
      <c r="M88" s="21">
        <f t="shared" si="10"/>
        <v>1354585426</v>
      </c>
      <c r="O88" s="23">
        <f t="shared" si="11"/>
        <v>4.17801E+15</v>
      </c>
    </row>
    <row r="89" ht="15.75" customHeight="1">
      <c r="B89" s="13">
        <v>88.0</v>
      </c>
      <c r="C89" s="16">
        <f t="shared" si="7"/>
        <v>539760534.7</v>
      </c>
      <c r="D89" s="16">
        <f t="shared" si="8"/>
        <v>818599831086</v>
      </c>
      <c r="E89" s="16" t="str">
        <f t="shared" si="1"/>
        <v>0 h 25 min 17 s</v>
      </c>
      <c r="F89" s="19">
        <f t="shared" ref="F89:G89" si="97">F88*$A$8</f>
        <v>1.4623E+17</v>
      </c>
      <c r="G89" s="20">
        <f t="shared" si="97"/>
        <v>7.31152E+16</v>
      </c>
      <c r="H89" s="19" t="str">
        <f t="shared" si="3"/>
        <v>75254 h 45 min 20 s</v>
      </c>
      <c r="I89" s="20" t="str">
        <f t="shared" si="4"/>
        <v>37627 h 22 min 40 s</v>
      </c>
      <c r="J89" s="14" t="str">
        <f t="shared" si="41"/>
        <v>18813 d 16 h 29 min 06 s</v>
      </c>
      <c r="L89" s="21">
        <f t="shared" si="6"/>
        <v>270917120.2</v>
      </c>
      <c r="M89" s="21">
        <f t="shared" si="10"/>
        <v>1625502546</v>
      </c>
      <c r="O89" s="23">
        <f t="shared" si="11"/>
        <v>6.26702E+15</v>
      </c>
    </row>
    <row r="90" ht="15.75" customHeight="1">
      <c r="B90" s="13">
        <v>89.0</v>
      </c>
      <c r="C90" s="16">
        <f t="shared" si="7"/>
        <v>674700668.4</v>
      </c>
      <c r="D90" s="16">
        <f t="shared" si="8"/>
        <v>1064179780412</v>
      </c>
      <c r="E90" s="16" t="str">
        <f t="shared" si="1"/>
        <v>0 h 26 min 17 s</v>
      </c>
      <c r="F90" s="19">
        <f t="shared" ref="F90:G90" si="98">F89*$A$8</f>
        <v>2.19346E+17</v>
      </c>
      <c r="G90" s="20">
        <f t="shared" si="98"/>
        <v>1.09673E+17</v>
      </c>
      <c r="H90" s="19" t="str">
        <f t="shared" si="3"/>
        <v>90305 h 42 min 24 s</v>
      </c>
      <c r="I90" s="20" t="str">
        <f t="shared" si="4"/>
        <v>45152 h 51 min 12 s</v>
      </c>
      <c r="J90" s="14" t="str">
        <f t="shared" si="41"/>
        <v>22576 d 10 h 11 min 30 s</v>
      </c>
      <c r="L90" s="21">
        <f t="shared" si="6"/>
        <v>325100544.2</v>
      </c>
      <c r="M90" s="21">
        <f t="shared" si="10"/>
        <v>1950603090</v>
      </c>
      <c r="O90" s="23">
        <f t="shared" si="11"/>
        <v>9.40052E+15</v>
      </c>
    </row>
    <row r="91" ht="15.75" customHeight="1">
      <c r="B91" s="13">
        <v>90.0</v>
      </c>
      <c r="C91" s="16">
        <f t="shared" si="7"/>
        <v>843375835.5</v>
      </c>
      <c r="D91" s="16">
        <f t="shared" si="8"/>
        <v>1383433714535</v>
      </c>
      <c r="E91" s="16" t="str">
        <f t="shared" si="1"/>
        <v>0 h 27 min 20 s</v>
      </c>
      <c r="F91" s="19">
        <f t="shared" ref="F91:G91" si="99">F90*$A$8</f>
        <v>3.29018E+17</v>
      </c>
      <c r="G91" s="20">
        <f t="shared" si="99"/>
        <v>1.64509E+17</v>
      </c>
      <c r="H91" s="19" t="str">
        <f t="shared" si="3"/>
        <v>108366 h 50 min 53 s</v>
      </c>
      <c r="I91" s="20" t="str">
        <f t="shared" si="4"/>
        <v>54183 h 25 min 27 s</v>
      </c>
      <c r="J91" s="14" t="str">
        <f t="shared" si="41"/>
        <v>27091 d 17 h 02 min 24 s</v>
      </c>
      <c r="L91" s="21">
        <f t="shared" si="6"/>
        <v>390120653.1</v>
      </c>
      <c r="M91" s="21">
        <f t="shared" si="10"/>
        <v>2340723744</v>
      </c>
      <c r="O91" s="23">
        <f t="shared" si="11"/>
        <v>1.41008E+16</v>
      </c>
    </row>
    <row r="92" ht="15.75" customHeight="1">
      <c r="B92" s="13">
        <v>91.0</v>
      </c>
      <c r="C92" s="16">
        <f t="shared" si="7"/>
        <v>1054219794</v>
      </c>
      <c r="D92" s="16">
        <f t="shared" si="8"/>
        <v>1798463828896</v>
      </c>
      <c r="E92" s="16" t="str">
        <f t="shared" si="1"/>
        <v>0 h 28 min 26 s</v>
      </c>
      <c r="F92" s="19">
        <f t="shared" ref="F92:G92" si="100">F91*$A$8</f>
        <v>4.93527E+17</v>
      </c>
      <c r="G92" s="20">
        <f t="shared" si="100"/>
        <v>2.46764E+17</v>
      </c>
      <c r="H92" s="19" t="str">
        <f t="shared" si="3"/>
        <v>130040 h 13 min 04 s</v>
      </c>
      <c r="I92" s="20" t="str">
        <f t="shared" si="4"/>
        <v>65020 h 06 min 32 s</v>
      </c>
      <c r="J92" s="14" t="str">
        <f t="shared" si="41"/>
        <v>32510 d 1 h 15 min 27 s</v>
      </c>
      <c r="L92" s="21">
        <f t="shared" si="6"/>
        <v>468144783.7</v>
      </c>
      <c r="M92" s="21">
        <f t="shared" si="10"/>
        <v>2808868527</v>
      </c>
      <c r="O92" s="23">
        <f t="shared" si="11"/>
        <v>2.11512E+16</v>
      </c>
    </row>
    <row r="93" ht="15.75" customHeight="1">
      <c r="B93" s="13">
        <v>92.0</v>
      </c>
      <c r="C93" s="16">
        <f t="shared" si="7"/>
        <v>1317774743</v>
      </c>
      <c r="D93" s="16">
        <f t="shared" si="8"/>
        <v>2338002977565</v>
      </c>
      <c r="E93" s="16" t="str">
        <f t="shared" si="1"/>
        <v>0 h 29 min 34 s</v>
      </c>
      <c r="F93" s="19">
        <f t="shared" ref="F93:G93" si="101">F92*$A$8</f>
        <v>7.40291E+17</v>
      </c>
      <c r="G93" s="20">
        <f t="shared" si="101"/>
        <v>3.70146E+17</v>
      </c>
      <c r="H93" s="19" t="str">
        <f t="shared" si="3"/>
        <v>156048 h 15 min 40 s</v>
      </c>
      <c r="I93" s="20" t="str">
        <f t="shared" si="4"/>
        <v>78024 h 07 min 50 s</v>
      </c>
      <c r="J93" s="14" t="str">
        <f t="shared" si="41"/>
        <v>39012 d 1 h 31 min 08 s</v>
      </c>
      <c r="L93" s="21">
        <f t="shared" si="6"/>
        <v>561773740.5</v>
      </c>
      <c r="M93" s="21">
        <f t="shared" si="10"/>
        <v>3370642268</v>
      </c>
      <c r="O93" s="23">
        <f t="shared" si="11"/>
        <v>3.17268E+16</v>
      </c>
    </row>
    <row r="94" ht="15.75" customHeight="1">
      <c r="B94" s="13">
        <v>93.0</v>
      </c>
      <c r="C94" s="16">
        <f t="shared" si="7"/>
        <v>1647218429</v>
      </c>
      <c r="D94" s="16">
        <f t="shared" si="8"/>
        <v>3039403870834</v>
      </c>
      <c r="E94" s="16" t="str">
        <f t="shared" si="1"/>
        <v>0 h 30 min 45 s</v>
      </c>
      <c r="F94" s="19">
        <f t="shared" ref="F94:G94" si="102">F93*$A$8</f>
        <v>1.11044E+18</v>
      </c>
      <c r="G94" s="20">
        <f t="shared" si="102"/>
        <v>5.55218E+17</v>
      </c>
      <c r="H94" s="19" t="str">
        <f t="shared" si="3"/>
        <v>187257 h 54 min 49 s</v>
      </c>
      <c r="I94" s="20" t="str">
        <f t="shared" si="4"/>
        <v>93628 h 57 min 24 s</v>
      </c>
      <c r="J94" s="14" t="str">
        <f t="shared" si="41"/>
        <v>46814 d 11 h 25 min 56 s</v>
      </c>
      <c r="L94" s="21">
        <f t="shared" si="6"/>
        <v>674128488.5</v>
      </c>
      <c r="M94" s="21">
        <f t="shared" si="10"/>
        <v>4044770756</v>
      </c>
      <c r="O94" s="23">
        <f t="shared" si="11"/>
        <v>4.75902E+16</v>
      </c>
    </row>
    <row r="95" ht="15.75" customHeight="1">
      <c r="B95" s="13">
        <v>94.0</v>
      </c>
      <c r="C95" s="16">
        <f t="shared" si="7"/>
        <v>2059023036</v>
      </c>
      <c r="D95" s="16">
        <f t="shared" si="8"/>
        <v>3951225032085</v>
      </c>
      <c r="E95" s="16" t="str">
        <f t="shared" si="1"/>
        <v>0 h 31 min 59 s</v>
      </c>
      <c r="F95" s="19">
        <f t="shared" ref="F95:G95" si="103">F94*$A$8</f>
        <v>1.66566E+18</v>
      </c>
      <c r="G95" s="20">
        <f t="shared" si="103"/>
        <v>8.32828E+17</v>
      </c>
      <c r="H95" s="19" t="str">
        <f t="shared" si="3"/>
        <v>224709 h 29 min 46 s</v>
      </c>
      <c r="I95" s="20" t="str">
        <f t="shared" si="4"/>
        <v>112354 h 44 min 53 s</v>
      </c>
      <c r="J95" s="14" t="str">
        <f t="shared" si="41"/>
        <v>56177 d 8 h 55 min 43 s</v>
      </c>
      <c r="L95" s="21">
        <f t="shared" si="6"/>
        <v>808954186.3</v>
      </c>
      <c r="M95" s="21">
        <f t="shared" si="10"/>
        <v>4853724943</v>
      </c>
      <c r="O95" s="23">
        <f t="shared" si="11"/>
        <v>7.13852E+16</v>
      </c>
    </row>
    <row r="96" ht="15.75" customHeight="1">
      <c r="B96" s="13">
        <v>95.0</v>
      </c>
      <c r="C96" s="16">
        <f t="shared" si="7"/>
        <v>2573778795</v>
      </c>
      <c r="D96" s="16">
        <f t="shared" si="8"/>
        <v>5136592541710</v>
      </c>
      <c r="E96" s="16" t="str">
        <f t="shared" si="1"/>
        <v>0 h 33 min 16 s</v>
      </c>
      <c r="F96" s="19">
        <f t="shared" ref="F96:G96" si="104">F95*$A$8</f>
        <v>2.49848E+18</v>
      </c>
      <c r="G96" s="20">
        <f t="shared" si="104"/>
        <v>1.24924E+18</v>
      </c>
      <c r="H96" s="19" t="str">
        <f t="shared" si="3"/>
        <v>269651 h 23 min 44 s</v>
      </c>
      <c r="I96" s="20" t="str">
        <f t="shared" si="4"/>
        <v>134825 h 41 min 52 s</v>
      </c>
      <c r="J96" s="14" t="str">
        <f t="shared" si="41"/>
        <v>67412 d 20 h 19 min 26 s</v>
      </c>
      <c r="L96" s="21">
        <f t="shared" si="6"/>
        <v>970745023.5</v>
      </c>
      <c r="M96" s="21">
        <f t="shared" si="10"/>
        <v>5824469966</v>
      </c>
      <c r="O96" s="23">
        <f t="shared" si="11"/>
        <v>1.07078E+17</v>
      </c>
    </row>
    <row r="97" ht="15.75" customHeight="1">
      <c r="B97" s="13">
        <v>96.0</v>
      </c>
      <c r="C97" s="16">
        <f t="shared" si="7"/>
        <v>3217223493</v>
      </c>
      <c r="D97" s="16">
        <f t="shared" si="8"/>
        <v>6677570304223</v>
      </c>
      <c r="E97" s="16" t="str">
        <f t="shared" si="1"/>
        <v>0 h 34 min 36 s</v>
      </c>
      <c r="F97" s="19">
        <f t="shared" ref="F97:G97" si="105">F96*$A$8</f>
        <v>3.74772E+18</v>
      </c>
      <c r="G97" s="20">
        <f t="shared" si="105"/>
        <v>1.87386E+18</v>
      </c>
      <c r="H97" s="19" t="str">
        <f t="shared" si="3"/>
        <v>323581 h 40 min 28 s</v>
      </c>
      <c r="I97" s="20" t="str">
        <f t="shared" si="4"/>
        <v>161790 h 50 min 14 s</v>
      </c>
      <c r="J97" s="14" t="str">
        <f t="shared" si="41"/>
        <v>80895 d 9 h 59 min 54 s</v>
      </c>
      <c r="L97" s="21">
        <f t="shared" si="6"/>
        <v>1164894028</v>
      </c>
      <c r="M97" s="21">
        <f t="shared" si="10"/>
        <v>6989363994</v>
      </c>
      <c r="O97" s="23">
        <f t="shared" si="11"/>
        <v>1.60617E+17</v>
      </c>
    </row>
    <row r="98" ht="15.75" customHeight="1">
      <c r="B98" s="13">
        <v>97.0</v>
      </c>
      <c r="C98" s="16">
        <f t="shared" si="7"/>
        <v>4021529367</v>
      </c>
      <c r="D98" s="16">
        <f t="shared" si="8"/>
        <v>8680841395490</v>
      </c>
      <c r="E98" s="16" t="str">
        <f t="shared" si="1"/>
        <v>0 h 35 min 59 s</v>
      </c>
      <c r="F98" s="19">
        <f t="shared" ref="F98:G98" si="106">F97*$A$8</f>
        <v>5.62159E+18</v>
      </c>
      <c r="G98" s="20">
        <f t="shared" si="106"/>
        <v>2.81079E+18</v>
      </c>
      <c r="H98" s="19" t="str">
        <f t="shared" si="3"/>
        <v>388298 h 00 min 34 s</v>
      </c>
      <c r="I98" s="20" t="str">
        <f t="shared" si="4"/>
        <v>194149 h 00 min 17 s</v>
      </c>
      <c r="J98" s="14" t="str">
        <f t="shared" si="41"/>
        <v>97074 d 12 h 00 min 28 s</v>
      </c>
      <c r="L98" s="21">
        <f t="shared" si="6"/>
        <v>1397872834</v>
      </c>
      <c r="M98" s="21">
        <f t="shared" si="10"/>
        <v>8387236828</v>
      </c>
      <c r="O98" s="23">
        <f t="shared" si="11"/>
        <v>2.40925E+17</v>
      </c>
    </row>
    <row r="99" ht="15.75" customHeight="1">
      <c r="B99" s="13">
        <v>98.0</v>
      </c>
      <c r="C99" s="16">
        <f t="shared" si="7"/>
        <v>5026911708</v>
      </c>
      <c r="D99" s="16">
        <f t="shared" si="8"/>
        <v>11285093814137</v>
      </c>
      <c r="E99" s="16" t="str">
        <f t="shared" si="1"/>
        <v>0 h 37 min 25 s</v>
      </c>
      <c r="F99" s="19">
        <f t="shared" ref="F99:G99" si="107">F98*$A$8</f>
        <v>8.43238E+18</v>
      </c>
      <c r="G99" s="20">
        <f t="shared" si="107"/>
        <v>4.21619E+18</v>
      </c>
      <c r="H99" s="19" t="str">
        <f t="shared" si="3"/>
        <v>465957 h 36 min 41 s</v>
      </c>
      <c r="I99" s="20" t="str">
        <f t="shared" si="4"/>
        <v>232978 h 48 min 20 s</v>
      </c>
      <c r="J99" s="14" t="str">
        <f t="shared" si="41"/>
        <v>116489 d 9 h 37 min 09 s</v>
      </c>
      <c r="L99" s="21">
        <f t="shared" si="6"/>
        <v>1677447401</v>
      </c>
      <c r="M99" s="21">
        <f t="shared" si="10"/>
        <v>10064684229</v>
      </c>
      <c r="O99" s="23">
        <f t="shared" si="11"/>
        <v>3.61388E+17</v>
      </c>
    </row>
    <row r="100" ht="15.75" customHeight="1">
      <c r="B100" s="13">
        <v>99.0</v>
      </c>
      <c r="C100" s="16">
        <f t="shared" si="7"/>
        <v>6283639636</v>
      </c>
      <c r="D100" s="16">
        <f t="shared" si="8"/>
        <v>14670621958379</v>
      </c>
      <c r="E100" s="16" t="str">
        <f t="shared" si="1"/>
        <v>0 h 38 min 55 s</v>
      </c>
      <c r="F100" s="19">
        <f t="shared" ref="F100:G100" si="108">F99*$A$8</f>
        <v>1.26486E+19</v>
      </c>
      <c r="G100" s="20">
        <f t="shared" si="108"/>
        <v>6.32428E+18</v>
      </c>
      <c r="H100" s="19" t="str">
        <f t="shared" si="3"/>
        <v>559149 h 08 min 01 s</v>
      </c>
      <c r="I100" s="20" t="str">
        <f t="shared" si="4"/>
        <v>279574 h 34 min 00 s</v>
      </c>
      <c r="J100" s="14" t="str">
        <f t="shared" si="41"/>
        <v>139787 d 6 h 45 min 09 s</v>
      </c>
      <c r="L100" s="21">
        <f t="shared" si="6"/>
        <v>2012936881</v>
      </c>
      <c r="M100" s="21">
        <f t="shared" si="10"/>
        <v>12077621109</v>
      </c>
      <c r="O100" s="23">
        <f t="shared" si="11"/>
        <v>5.42082E+17</v>
      </c>
    </row>
    <row r="101" ht="15.75" customHeight="1">
      <c r="B101" s="13"/>
      <c r="D101" s="16"/>
      <c r="E101" s="16"/>
      <c r="F101" s="19"/>
      <c r="G101" s="20"/>
      <c r="H101" s="24"/>
      <c r="I101" s="25"/>
    </row>
    <row r="102" ht="15.75" customHeight="1">
      <c r="B102" s="13"/>
      <c r="D102" s="16"/>
      <c r="E102" s="16"/>
      <c r="F102" s="19"/>
      <c r="G102" s="20"/>
      <c r="H102" s="24"/>
      <c r="I102" s="25"/>
    </row>
    <row r="103" ht="15.75" customHeight="1">
      <c r="B103" s="13"/>
      <c r="D103" s="16"/>
      <c r="E103" s="16"/>
      <c r="F103" s="19"/>
      <c r="G103" s="20"/>
      <c r="H103" s="24"/>
      <c r="I103" s="25"/>
    </row>
    <row r="104" ht="15.75" customHeight="1">
      <c r="B104" s="13"/>
      <c r="D104" s="16"/>
      <c r="E104" s="16"/>
      <c r="F104" s="19"/>
      <c r="G104" s="20"/>
      <c r="H104" s="24"/>
      <c r="I104" s="25"/>
    </row>
    <row r="105" ht="15.75" customHeight="1">
      <c r="B105" s="13"/>
      <c r="D105" s="16"/>
      <c r="E105" s="16"/>
      <c r="F105" s="19"/>
      <c r="G105" s="20"/>
      <c r="H105" s="24"/>
      <c r="I105" s="25"/>
    </row>
    <row r="106" ht="15.75" customHeight="1">
      <c r="B106" s="13"/>
      <c r="D106" s="16"/>
      <c r="E106" s="16"/>
      <c r="F106" s="19"/>
      <c r="G106" s="20"/>
      <c r="H106" s="24"/>
      <c r="I106" s="25"/>
    </row>
    <row r="107" ht="15.75" customHeight="1">
      <c r="B107" s="13"/>
      <c r="D107" s="16"/>
      <c r="E107" s="16"/>
      <c r="F107" s="19"/>
      <c r="G107" s="20"/>
      <c r="H107" s="24"/>
      <c r="I107" s="25"/>
    </row>
    <row r="108" ht="15.75" customHeight="1">
      <c r="B108" s="13"/>
      <c r="D108" s="16"/>
      <c r="E108" s="16"/>
      <c r="F108" s="19"/>
      <c r="G108" s="20"/>
      <c r="H108" s="24"/>
      <c r="I108" s="25"/>
    </row>
    <row r="109" ht="15.75" customHeight="1">
      <c r="B109" s="13"/>
      <c r="D109" s="16"/>
      <c r="E109" s="16"/>
      <c r="F109" s="19"/>
      <c r="G109" s="20"/>
      <c r="H109" s="24"/>
      <c r="I109" s="25"/>
    </row>
    <row r="110" ht="15.75" customHeight="1">
      <c r="B110" s="13"/>
      <c r="D110" s="16"/>
      <c r="E110" s="16"/>
      <c r="F110" s="19"/>
      <c r="G110" s="20"/>
      <c r="H110" s="24"/>
      <c r="I110" s="25"/>
    </row>
    <row r="111" ht="15.75" customHeight="1">
      <c r="B111" s="13"/>
      <c r="D111" s="16"/>
      <c r="E111" s="16"/>
      <c r="F111" s="19"/>
      <c r="G111" s="20"/>
      <c r="H111" s="24"/>
      <c r="I111" s="25"/>
    </row>
    <row r="112" ht="15.75" customHeight="1">
      <c r="B112" s="13"/>
      <c r="D112" s="16"/>
      <c r="E112" s="16"/>
      <c r="F112" s="19"/>
      <c r="G112" s="20"/>
      <c r="H112" s="24"/>
      <c r="I112" s="25"/>
    </row>
    <row r="113" ht="15.75" customHeight="1">
      <c r="B113" s="13"/>
      <c r="D113" s="16"/>
      <c r="E113" s="16"/>
      <c r="F113" s="19"/>
      <c r="G113" s="20"/>
      <c r="H113" s="24"/>
      <c r="I113" s="25"/>
    </row>
    <row r="114" ht="15.75" customHeight="1">
      <c r="B114" s="13"/>
      <c r="D114" s="16"/>
      <c r="E114" s="16"/>
      <c r="F114" s="19"/>
      <c r="G114" s="20"/>
      <c r="H114" s="24"/>
      <c r="I114" s="25"/>
    </row>
    <row r="115" ht="15.75" customHeight="1">
      <c r="B115" s="13"/>
      <c r="D115" s="16"/>
      <c r="E115" s="16"/>
      <c r="F115" s="19"/>
      <c r="G115" s="20"/>
      <c r="H115" s="24"/>
      <c r="I115" s="25"/>
    </row>
    <row r="116" ht="15.75" customHeight="1">
      <c r="B116" s="13"/>
      <c r="D116" s="16"/>
      <c r="E116" s="16"/>
      <c r="F116" s="19"/>
      <c r="G116" s="20"/>
      <c r="H116" s="24"/>
      <c r="I116" s="25"/>
    </row>
    <row r="117" ht="15.75" customHeight="1">
      <c r="B117" s="13"/>
      <c r="D117" s="16"/>
      <c r="E117" s="16"/>
      <c r="F117" s="19"/>
      <c r="G117" s="20"/>
      <c r="H117" s="24"/>
      <c r="I117" s="25"/>
    </row>
    <row r="118" ht="15.75" customHeight="1">
      <c r="B118" s="13"/>
      <c r="D118" s="16"/>
      <c r="E118" s="16"/>
      <c r="F118" s="19"/>
      <c r="G118" s="20"/>
      <c r="H118" s="24"/>
      <c r="I118" s="25"/>
    </row>
    <row r="119" ht="15.75" customHeight="1">
      <c r="B119" s="13"/>
      <c r="D119" s="16"/>
      <c r="E119" s="16"/>
      <c r="F119" s="19"/>
      <c r="G119" s="20"/>
      <c r="H119" s="24"/>
      <c r="I119" s="25"/>
    </row>
    <row r="120" ht="15.75" customHeight="1">
      <c r="B120" s="13"/>
      <c r="D120" s="16"/>
      <c r="E120" s="16"/>
      <c r="F120" s="19"/>
      <c r="G120" s="20"/>
      <c r="H120" s="24"/>
      <c r="I120" s="25"/>
    </row>
    <row r="121" ht="15.75" customHeight="1">
      <c r="B121" s="13"/>
      <c r="D121" s="16"/>
      <c r="E121" s="16"/>
      <c r="F121" s="19"/>
      <c r="G121" s="20"/>
      <c r="H121" s="24"/>
      <c r="I121" s="25"/>
    </row>
    <row r="122" ht="15.75" customHeight="1">
      <c r="B122" s="13"/>
      <c r="D122" s="16"/>
      <c r="E122" s="16"/>
      <c r="F122" s="19"/>
      <c r="G122" s="20"/>
      <c r="H122" s="24"/>
      <c r="I122" s="25"/>
    </row>
    <row r="123" ht="15.75" customHeight="1">
      <c r="B123" s="13"/>
      <c r="D123" s="16"/>
      <c r="E123" s="16"/>
      <c r="F123" s="19"/>
      <c r="G123" s="20"/>
      <c r="H123" s="24"/>
      <c r="I123" s="25"/>
    </row>
    <row r="124" ht="15.75" customHeight="1">
      <c r="B124" s="13"/>
      <c r="D124" s="16"/>
      <c r="E124" s="16"/>
      <c r="F124" s="19"/>
      <c r="G124" s="20"/>
      <c r="H124" s="24"/>
      <c r="I124" s="25"/>
    </row>
    <row r="125" ht="15.75" customHeight="1">
      <c r="B125" s="13"/>
      <c r="D125" s="16"/>
      <c r="E125" s="16"/>
      <c r="F125" s="19"/>
      <c r="G125" s="20"/>
      <c r="H125" s="24"/>
      <c r="I125" s="25"/>
    </row>
    <row r="126" ht="15.75" customHeight="1">
      <c r="B126" s="13"/>
      <c r="D126" s="16"/>
      <c r="E126" s="16"/>
      <c r="F126" s="19"/>
      <c r="G126" s="20"/>
      <c r="H126" s="24"/>
      <c r="I126" s="25"/>
    </row>
    <row r="127" ht="15.75" customHeight="1">
      <c r="B127" s="13"/>
      <c r="D127" s="16"/>
      <c r="E127" s="16"/>
      <c r="F127" s="19"/>
      <c r="G127" s="20"/>
      <c r="H127" s="24"/>
      <c r="I127" s="25"/>
    </row>
    <row r="128" ht="15.75" customHeight="1">
      <c r="B128" s="13"/>
      <c r="D128" s="16"/>
      <c r="E128" s="16"/>
      <c r="F128" s="19"/>
      <c r="G128" s="20"/>
      <c r="H128" s="24"/>
      <c r="I128" s="25"/>
    </row>
    <row r="129" ht="15.75" customHeight="1">
      <c r="B129" s="13"/>
      <c r="D129" s="16"/>
      <c r="E129" s="16"/>
      <c r="F129" s="19"/>
      <c r="G129" s="20"/>
      <c r="H129" s="24"/>
      <c r="I129" s="25"/>
    </row>
    <row r="130" ht="15.75" customHeight="1">
      <c r="B130" s="13"/>
      <c r="D130" s="16"/>
      <c r="E130" s="16"/>
      <c r="F130" s="19"/>
      <c r="G130" s="20"/>
      <c r="H130" s="24"/>
      <c r="I130" s="25"/>
    </row>
    <row r="131" ht="15.75" customHeight="1">
      <c r="B131" s="13"/>
      <c r="D131" s="16"/>
      <c r="E131" s="16"/>
      <c r="F131" s="19"/>
      <c r="G131" s="20"/>
      <c r="H131" s="24"/>
      <c r="I131" s="25"/>
    </row>
    <row r="132" ht="15.75" customHeight="1">
      <c r="B132" s="13"/>
      <c r="D132" s="16"/>
      <c r="E132" s="16"/>
      <c r="F132" s="19"/>
      <c r="G132" s="20"/>
      <c r="H132" s="24"/>
      <c r="I132" s="25"/>
    </row>
    <row r="133" ht="15.75" customHeight="1">
      <c r="B133" s="13"/>
      <c r="D133" s="16"/>
      <c r="E133" s="16"/>
      <c r="F133" s="19"/>
      <c r="G133" s="20"/>
      <c r="H133" s="24"/>
      <c r="I133" s="25"/>
    </row>
    <row r="134" ht="15.75" customHeight="1">
      <c r="B134" s="13"/>
      <c r="D134" s="16"/>
      <c r="E134" s="16"/>
      <c r="F134" s="19"/>
      <c r="G134" s="20"/>
      <c r="H134" s="24"/>
      <c r="I134" s="25"/>
    </row>
    <row r="135" ht="15.75" customHeight="1">
      <c r="B135" s="13"/>
      <c r="D135" s="16"/>
      <c r="E135" s="16"/>
      <c r="F135" s="19"/>
      <c r="G135" s="20"/>
      <c r="H135" s="24"/>
      <c r="I135" s="25"/>
    </row>
    <row r="136" ht="15.75" customHeight="1">
      <c r="B136" s="13"/>
      <c r="D136" s="16"/>
      <c r="E136" s="16"/>
      <c r="F136" s="19"/>
      <c r="G136" s="20"/>
      <c r="H136" s="24"/>
      <c r="I136" s="25"/>
    </row>
    <row r="137" ht="15.75" customHeight="1">
      <c r="B137" s="13"/>
      <c r="D137" s="16"/>
      <c r="E137" s="16"/>
      <c r="F137" s="19"/>
      <c r="G137" s="20"/>
      <c r="H137" s="24"/>
      <c r="I137" s="25"/>
    </row>
    <row r="138" ht="15.75" customHeight="1">
      <c r="B138" s="13"/>
      <c r="D138" s="16"/>
      <c r="E138" s="16"/>
      <c r="F138" s="19"/>
      <c r="G138" s="20"/>
      <c r="H138" s="24"/>
      <c r="I138" s="25"/>
    </row>
    <row r="139" ht="15.75" customHeight="1">
      <c r="B139" s="13"/>
      <c r="D139" s="16"/>
      <c r="E139" s="16"/>
      <c r="F139" s="19"/>
      <c r="G139" s="20"/>
      <c r="H139" s="24"/>
      <c r="I139" s="25"/>
    </row>
    <row r="140" ht="15.75" customHeight="1">
      <c r="B140" s="13"/>
      <c r="D140" s="16"/>
      <c r="E140" s="16"/>
      <c r="F140" s="19"/>
      <c r="G140" s="20"/>
      <c r="H140" s="24"/>
      <c r="I140" s="25"/>
    </row>
    <row r="141" ht="15.75" customHeight="1">
      <c r="B141" s="13"/>
      <c r="D141" s="16"/>
      <c r="E141" s="16"/>
      <c r="F141" s="19"/>
      <c r="G141" s="20"/>
      <c r="H141" s="24"/>
      <c r="I141" s="25"/>
    </row>
    <row r="142" ht="15.75" customHeight="1">
      <c r="B142" s="13"/>
      <c r="D142" s="16"/>
      <c r="E142" s="16"/>
      <c r="F142" s="19"/>
      <c r="G142" s="20"/>
      <c r="H142" s="24"/>
      <c r="I142" s="25"/>
    </row>
    <row r="143" ht="15.75" customHeight="1">
      <c r="B143" s="13"/>
      <c r="D143" s="16"/>
      <c r="E143" s="16"/>
      <c r="F143" s="19"/>
      <c r="G143" s="20"/>
      <c r="H143" s="24"/>
      <c r="I143" s="25"/>
    </row>
    <row r="144" ht="15.75" customHeight="1">
      <c r="B144" s="13"/>
      <c r="D144" s="16"/>
      <c r="E144" s="16"/>
      <c r="F144" s="19"/>
      <c r="G144" s="20"/>
      <c r="H144" s="24"/>
      <c r="I144" s="25"/>
    </row>
    <row r="145" ht="15.75" customHeight="1">
      <c r="B145" s="13"/>
      <c r="D145" s="16"/>
      <c r="E145" s="16"/>
      <c r="F145" s="19"/>
      <c r="G145" s="20"/>
      <c r="H145" s="24"/>
      <c r="I145" s="25"/>
    </row>
    <row r="146" ht="15.75" customHeight="1">
      <c r="B146" s="13"/>
      <c r="D146" s="16"/>
      <c r="E146" s="16"/>
      <c r="F146" s="19"/>
      <c r="G146" s="20"/>
      <c r="H146" s="24"/>
      <c r="I146" s="25"/>
    </row>
    <row r="147" ht="15.75" customHeight="1">
      <c r="B147" s="13"/>
      <c r="D147" s="16"/>
      <c r="E147" s="16"/>
      <c r="F147" s="19"/>
      <c r="G147" s="20"/>
      <c r="H147" s="24"/>
      <c r="I147" s="25"/>
    </row>
    <row r="148" ht="15.75" customHeight="1">
      <c r="B148" s="13"/>
      <c r="D148" s="16"/>
      <c r="E148" s="16"/>
      <c r="F148" s="19"/>
      <c r="G148" s="20"/>
      <c r="H148" s="24"/>
      <c r="I148" s="25"/>
    </row>
    <row r="149" ht="15.75" customHeight="1">
      <c r="B149" s="13"/>
      <c r="D149" s="16"/>
      <c r="E149" s="16"/>
      <c r="F149" s="19"/>
      <c r="G149" s="20"/>
      <c r="H149" s="24"/>
      <c r="I149" s="25"/>
    </row>
    <row r="150" ht="15.75" customHeight="1">
      <c r="B150" s="13"/>
      <c r="D150" s="16"/>
      <c r="E150" s="16"/>
      <c r="F150" s="19"/>
      <c r="G150" s="20"/>
      <c r="H150" s="24"/>
      <c r="I150" s="25"/>
    </row>
    <row r="151" ht="15.75" customHeight="1">
      <c r="B151" s="13"/>
      <c r="D151" s="16"/>
      <c r="E151" s="16"/>
      <c r="F151" s="19"/>
      <c r="G151" s="20"/>
      <c r="H151" s="24"/>
      <c r="I151" s="25"/>
    </row>
    <row r="152" ht="15.75" customHeight="1">
      <c r="B152" s="13"/>
      <c r="D152" s="16"/>
      <c r="E152" s="16"/>
      <c r="F152" s="19"/>
      <c r="G152" s="20"/>
      <c r="H152" s="24"/>
      <c r="I152" s="25"/>
    </row>
    <row r="153" ht="15.75" customHeight="1">
      <c r="B153" s="13"/>
      <c r="D153" s="16"/>
      <c r="E153" s="16"/>
      <c r="F153" s="19"/>
      <c r="G153" s="20"/>
      <c r="H153" s="24"/>
      <c r="I153" s="25"/>
    </row>
    <row r="154" ht="15.75" customHeight="1">
      <c r="B154" s="13"/>
      <c r="D154" s="16"/>
      <c r="E154" s="16"/>
      <c r="F154" s="19"/>
      <c r="G154" s="20"/>
      <c r="H154" s="24"/>
      <c r="I154" s="25"/>
    </row>
    <row r="155" ht="15.75" customHeight="1">
      <c r="B155" s="13"/>
      <c r="D155" s="16"/>
      <c r="E155" s="16"/>
      <c r="F155" s="19"/>
      <c r="G155" s="20"/>
      <c r="H155" s="24"/>
      <c r="I155" s="25"/>
    </row>
    <row r="156" ht="15.75" customHeight="1">
      <c r="B156" s="13"/>
      <c r="D156" s="16"/>
      <c r="E156" s="16"/>
      <c r="F156" s="19"/>
      <c r="G156" s="20"/>
      <c r="H156" s="24"/>
      <c r="I156" s="25"/>
    </row>
    <row r="157" ht="15.75" customHeight="1">
      <c r="B157" s="13"/>
      <c r="D157" s="16"/>
      <c r="E157" s="16"/>
      <c r="F157" s="19"/>
      <c r="G157" s="20"/>
      <c r="H157" s="24"/>
      <c r="I157" s="25"/>
    </row>
    <row r="158" ht="15.75" customHeight="1">
      <c r="B158" s="13"/>
      <c r="D158" s="16"/>
      <c r="E158" s="16"/>
      <c r="F158" s="19"/>
      <c r="G158" s="20"/>
      <c r="H158" s="24"/>
      <c r="I158" s="25"/>
    </row>
    <row r="159" ht="15.75" customHeight="1">
      <c r="B159" s="13"/>
      <c r="D159" s="16"/>
      <c r="E159" s="16"/>
      <c r="F159" s="19"/>
      <c r="G159" s="20"/>
      <c r="H159" s="24"/>
      <c r="I159" s="25"/>
    </row>
    <row r="160" ht="15.75" customHeight="1">
      <c r="B160" s="13"/>
      <c r="D160" s="16"/>
      <c r="E160" s="16"/>
      <c r="F160" s="19"/>
      <c r="G160" s="20"/>
      <c r="H160" s="24"/>
      <c r="I160" s="25"/>
    </row>
    <row r="161" ht="15.75" customHeight="1">
      <c r="B161" s="13"/>
      <c r="D161" s="16"/>
      <c r="E161" s="16"/>
      <c r="F161" s="19"/>
      <c r="G161" s="20"/>
      <c r="H161" s="24"/>
      <c r="I161" s="25"/>
    </row>
    <row r="162" ht="15.75" customHeight="1">
      <c r="B162" s="13"/>
      <c r="D162" s="16"/>
      <c r="E162" s="16"/>
      <c r="F162" s="19"/>
      <c r="G162" s="20"/>
      <c r="H162" s="24"/>
      <c r="I162" s="25"/>
    </row>
    <row r="163" ht="15.75" customHeight="1">
      <c r="B163" s="13"/>
      <c r="D163" s="16"/>
      <c r="E163" s="16"/>
      <c r="F163" s="19"/>
      <c r="G163" s="20"/>
      <c r="H163" s="24"/>
      <c r="I163" s="25"/>
    </row>
    <row r="164" ht="15.75" customHeight="1">
      <c r="B164" s="13"/>
      <c r="D164" s="16"/>
      <c r="E164" s="16"/>
      <c r="F164" s="19"/>
      <c r="G164" s="20"/>
      <c r="H164" s="24"/>
      <c r="I164" s="25"/>
    </row>
    <row r="165" ht="15.75" customHeight="1">
      <c r="B165" s="13"/>
      <c r="D165" s="16"/>
      <c r="E165" s="16"/>
      <c r="F165" s="19"/>
      <c r="G165" s="20"/>
      <c r="H165" s="24"/>
      <c r="I165" s="25"/>
    </row>
    <row r="166" ht="15.75" customHeight="1">
      <c r="B166" s="13"/>
      <c r="D166" s="16"/>
      <c r="E166" s="16"/>
      <c r="F166" s="19"/>
      <c r="G166" s="20"/>
      <c r="H166" s="24"/>
      <c r="I166" s="25"/>
    </row>
    <row r="167" ht="15.75" customHeight="1">
      <c r="B167" s="13"/>
      <c r="D167" s="16"/>
      <c r="E167" s="16"/>
      <c r="F167" s="19"/>
      <c r="G167" s="20"/>
      <c r="H167" s="24"/>
      <c r="I167" s="25"/>
    </row>
    <row r="168" ht="15.75" customHeight="1">
      <c r="B168" s="13"/>
      <c r="D168" s="16"/>
      <c r="E168" s="16"/>
      <c r="F168" s="19"/>
      <c r="G168" s="20"/>
      <c r="H168" s="24"/>
      <c r="I168" s="25"/>
    </row>
    <row r="169" ht="15.75" customHeight="1">
      <c r="B169" s="13"/>
      <c r="D169" s="16"/>
      <c r="E169" s="16"/>
      <c r="F169" s="19"/>
      <c r="G169" s="20"/>
      <c r="H169" s="24"/>
      <c r="I169" s="25"/>
    </row>
    <row r="170" ht="15.75" customHeight="1">
      <c r="B170" s="13"/>
      <c r="D170" s="16"/>
      <c r="E170" s="16"/>
      <c r="F170" s="19"/>
      <c r="G170" s="20"/>
      <c r="H170" s="24"/>
      <c r="I170" s="25"/>
    </row>
    <row r="171" ht="15.75" customHeight="1">
      <c r="B171" s="13"/>
      <c r="D171" s="16"/>
      <c r="E171" s="16"/>
      <c r="F171" s="19"/>
      <c r="G171" s="20"/>
      <c r="H171" s="24"/>
      <c r="I171" s="25"/>
    </row>
    <row r="172" ht="15.75" customHeight="1">
      <c r="B172" s="13"/>
      <c r="D172" s="16"/>
      <c r="E172" s="16"/>
      <c r="F172" s="19"/>
      <c r="G172" s="20"/>
      <c r="H172" s="24"/>
      <c r="I172" s="25"/>
    </row>
    <row r="173" ht="15.75" customHeight="1">
      <c r="B173" s="13"/>
      <c r="D173" s="16"/>
      <c r="E173" s="16"/>
      <c r="F173" s="19"/>
      <c r="G173" s="20"/>
      <c r="H173" s="24"/>
      <c r="I173" s="25"/>
    </row>
    <row r="174" ht="15.75" customHeight="1">
      <c r="B174" s="13"/>
      <c r="D174" s="16"/>
      <c r="E174" s="16"/>
      <c r="F174" s="19"/>
      <c r="G174" s="20"/>
      <c r="H174" s="24"/>
      <c r="I174" s="25"/>
    </row>
    <row r="175" ht="15.75" customHeight="1">
      <c r="B175" s="13"/>
      <c r="D175" s="16"/>
      <c r="E175" s="16"/>
      <c r="F175" s="19"/>
      <c r="G175" s="20"/>
      <c r="H175" s="24"/>
      <c r="I175" s="25"/>
    </row>
    <row r="176" ht="15.75" customHeight="1">
      <c r="B176" s="13"/>
      <c r="D176" s="16"/>
      <c r="E176" s="16"/>
      <c r="F176" s="19"/>
      <c r="G176" s="20"/>
      <c r="H176" s="24"/>
      <c r="I176" s="25"/>
    </row>
    <row r="177" ht="15.75" customHeight="1">
      <c r="B177" s="13"/>
      <c r="D177" s="16"/>
      <c r="E177" s="16"/>
      <c r="F177" s="19"/>
      <c r="G177" s="20"/>
      <c r="H177" s="24"/>
      <c r="I177" s="25"/>
    </row>
    <row r="178" ht="15.75" customHeight="1">
      <c r="B178" s="13"/>
      <c r="D178" s="16"/>
      <c r="E178" s="16"/>
      <c r="F178" s="19"/>
      <c r="G178" s="20"/>
      <c r="H178" s="24"/>
      <c r="I178" s="25"/>
    </row>
    <row r="179" ht="15.75" customHeight="1">
      <c r="B179" s="13"/>
      <c r="D179" s="16"/>
      <c r="E179" s="16"/>
      <c r="F179" s="19"/>
      <c r="G179" s="20"/>
      <c r="H179" s="24"/>
      <c r="I179" s="25"/>
    </row>
    <row r="180" ht="15.75" customHeight="1">
      <c r="B180" s="13"/>
      <c r="D180" s="16"/>
      <c r="E180" s="16"/>
      <c r="F180" s="19"/>
      <c r="G180" s="20"/>
      <c r="H180" s="24"/>
      <c r="I180" s="25"/>
    </row>
    <row r="181" ht="15.75" customHeight="1">
      <c r="B181" s="13"/>
      <c r="D181" s="16"/>
      <c r="E181" s="16"/>
      <c r="F181" s="19"/>
      <c r="G181" s="20"/>
      <c r="H181" s="24"/>
      <c r="I181" s="25"/>
    </row>
    <row r="182" ht="15.75" customHeight="1">
      <c r="B182" s="13"/>
      <c r="D182" s="16"/>
      <c r="E182" s="16"/>
      <c r="F182" s="19"/>
      <c r="G182" s="20"/>
      <c r="H182" s="24"/>
      <c r="I182" s="25"/>
    </row>
    <row r="183" ht="15.75" customHeight="1">
      <c r="B183" s="13"/>
      <c r="D183" s="16"/>
      <c r="E183" s="16"/>
      <c r="F183" s="19"/>
      <c r="G183" s="20"/>
      <c r="H183" s="24"/>
      <c r="I183" s="25"/>
    </row>
    <row r="184" ht="15.75" customHeight="1">
      <c r="B184" s="13"/>
      <c r="D184" s="16"/>
      <c r="E184" s="16"/>
      <c r="F184" s="19"/>
      <c r="G184" s="20"/>
      <c r="H184" s="24"/>
      <c r="I184" s="25"/>
    </row>
    <row r="185" ht="15.75" customHeight="1">
      <c r="B185" s="13"/>
      <c r="D185" s="16"/>
      <c r="E185" s="16"/>
      <c r="F185" s="19"/>
      <c r="G185" s="20"/>
      <c r="H185" s="24"/>
      <c r="I185" s="25"/>
    </row>
    <row r="186" ht="15.75" customHeight="1">
      <c r="B186" s="13"/>
      <c r="D186" s="16"/>
      <c r="E186" s="16"/>
      <c r="F186" s="19"/>
      <c r="G186" s="20"/>
      <c r="H186" s="24"/>
      <c r="I186" s="25"/>
    </row>
    <row r="187" ht="15.75" customHeight="1">
      <c r="B187" s="13"/>
      <c r="D187" s="16"/>
      <c r="E187" s="16"/>
      <c r="F187" s="19"/>
      <c r="G187" s="20"/>
      <c r="H187" s="24"/>
      <c r="I187" s="25"/>
    </row>
    <row r="188" ht="15.75" customHeight="1">
      <c r="B188" s="13"/>
      <c r="D188" s="16"/>
      <c r="E188" s="16"/>
      <c r="F188" s="19"/>
      <c r="G188" s="20"/>
      <c r="H188" s="24"/>
      <c r="I188" s="25"/>
    </row>
    <row r="189" ht="15.75" customHeight="1">
      <c r="B189" s="13"/>
      <c r="D189" s="16"/>
      <c r="E189" s="16"/>
      <c r="F189" s="19"/>
      <c r="G189" s="20"/>
      <c r="H189" s="24"/>
      <c r="I189" s="25"/>
    </row>
    <row r="190" ht="15.75" customHeight="1">
      <c r="B190" s="13"/>
      <c r="D190" s="16"/>
      <c r="E190" s="16"/>
      <c r="F190" s="19"/>
      <c r="G190" s="20"/>
      <c r="H190" s="24"/>
      <c r="I190" s="25"/>
    </row>
    <row r="191" ht="15.75" customHeight="1">
      <c r="B191" s="13"/>
      <c r="D191" s="16"/>
      <c r="E191" s="16"/>
      <c r="F191" s="19"/>
      <c r="G191" s="20"/>
      <c r="H191" s="24"/>
      <c r="I191" s="25"/>
    </row>
    <row r="192" ht="15.75" customHeight="1">
      <c r="B192" s="13"/>
      <c r="D192" s="16"/>
      <c r="E192" s="16"/>
      <c r="F192" s="19"/>
      <c r="G192" s="20"/>
      <c r="H192" s="24"/>
      <c r="I192" s="25"/>
    </row>
    <row r="193" ht="15.75" customHeight="1">
      <c r="B193" s="13"/>
      <c r="D193" s="16"/>
      <c r="E193" s="16"/>
      <c r="F193" s="19"/>
      <c r="G193" s="20"/>
      <c r="H193" s="24"/>
      <c r="I193" s="25"/>
    </row>
    <row r="194" ht="15.75" customHeight="1">
      <c r="B194" s="13"/>
      <c r="D194" s="16"/>
      <c r="E194" s="16"/>
      <c r="F194" s="19"/>
      <c r="G194" s="20"/>
      <c r="H194" s="24"/>
      <c r="I194" s="25"/>
    </row>
    <row r="195" ht="15.75" customHeight="1">
      <c r="B195" s="13"/>
      <c r="D195" s="16"/>
      <c r="E195" s="16"/>
      <c r="F195" s="19"/>
      <c r="G195" s="20"/>
      <c r="H195" s="24"/>
      <c r="I195" s="25"/>
    </row>
    <row r="196" ht="15.75" customHeight="1">
      <c r="B196" s="13"/>
      <c r="D196" s="16"/>
      <c r="E196" s="16"/>
      <c r="F196" s="19"/>
      <c r="G196" s="20"/>
      <c r="H196" s="24"/>
      <c r="I196" s="25"/>
    </row>
    <row r="197" ht="15.75" customHeight="1">
      <c r="B197" s="13"/>
      <c r="D197" s="16"/>
      <c r="E197" s="16"/>
      <c r="F197" s="19"/>
      <c r="G197" s="20"/>
      <c r="H197" s="24"/>
      <c r="I197" s="25"/>
    </row>
    <row r="198" ht="15.75" customHeight="1">
      <c r="B198" s="13"/>
      <c r="D198" s="16"/>
      <c r="E198" s="16"/>
      <c r="F198" s="19"/>
      <c r="G198" s="20"/>
      <c r="H198" s="24"/>
      <c r="I198" s="25"/>
    </row>
    <row r="199" ht="15.75" customHeight="1">
      <c r="B199" s="13"/>
      <c r="D199" s="16"/>
      <c r="E199" s="16"/>
      <c r="F199" s="19"/>
      <c r="G199" s="20"/>
      <c r="H199" s="24"/>
      <c r="I199" s="25"/>
    </row>
    <row r="200" ht="15.75" customHeight="1">
      <c r="B200" s="13"/>
      <c r="D200" s="16"/>
      <c r="E200" s="16"/>
      <c r="F200" s="19"/>
      <c r="G200" s="20"/>
      <c r="H200" s="24"/>
      <c r="I200" s="25"/>
    </row>
    <row r="201" ht="15.75" customHeight="1">
      <c r="B201" s="13"/>
      <c r="D201" s="16"/>
      <c r="E201" s="16"/>
      <c r="F201" s="19"/>
      <c r="G201" s="20"/>
      <c r="H201" s="24"/>
      <c r="I201" s="25"/>
    </row>
    <row r="202" ht="15.75" customHeight="1">
      <c r="B202" s="13"/>
      <c r="D202" s="16"/>
      <c r="E202" s="16"/>
      <c r="F202" s="19"/>
      <c r="G202" s="20"/>
      <c r="H202" s="24"/>
      <c r="I202" s="25"/>
    </row>
    <row r="203" ht="15.75" customHeight="1">
      <c r="B203" s="13"/>
      <c r="D203" s="16"/>
      <c r="E203" s="16"/>
      <c r="F203" s="19"/>
      <c r="G203" s="20"/>
      <c r="H203" s="24"/>
      <c r="I203" s="25"/>
    </row>
    <row r="204" ht="15.75" customHeight="1">
      <c r="B204" s="13"/>
      <c r="D204" s="16"/>
      <c r="E204" s="16"/>
      <c r="F204" s="19"/>
      <c r="G204" s="20"/>
      <c r="H204" s="24"/>
      <c r="I204" s="25"/>
    </row>
    <row r="205" ht="15.75" customHeight="1">
      <c r="B205" s="13"/>
      <c r="D205" s="16"/>
      <c r="E205" s="16"/>
      <c r="F205" s="19"/>
      <c r="G205" s="20"/>
      <c r="H205" s="24"/>
      <c r="I205" s="25"/>
    </row>
    <row r="206" ht="15.75" customHeight="1">
      <c r="B206" s="13"/>
      <c r="D206" s="16"/>
      <c r="E206" s="16"/>
      <c r="F206" s="19"/>
      <c r="G206" s="20"/>
      <c r="H206" s="24"/>
      <c r="I206" s="25"/>
    </row>
    <row r="207" ht="15.75" customHeight="1">
      <c r="B207" s="13"/>
      <c r="D207" s="16"/>
      <c r="E207" s="16"/>
      <c r="F207" s="19"/>
      <c r="G207" s="20"/>
      <c r="H207" s="24"/>
      <c r="I207" s="25"/>
    </row>
    <row r="208" ht="15.75" customHeight="1">
      <c r="B208" s="13"/>
      <c r="D208" s="16"/>
      <c r="E208" s="16"/>
      <c r="F208" s="19"/>
      <c r="G208" s="20"/>
      <c r="H208" s="24"/>
      <c r="I208" s="25"/>
    </row>
    <row r="209" ht="15.75" customHeight="1">
      <c r="B209" s="13"/>
      <c r="D209" s="16"/>
      <c r="E209" s="16"/>
      <c r="F209" s="19"/>
      <c r="G209" s="20"/>
      <c r="H209" s="24"/>
      <c r="I209" s="25"/>
    </row>
    <row r="210" ht="15.75" customHeight="1">
      <c r="B210" s="13"/>
      <c r="D210" s="16"/>
      <c r="E210" s="16"/>
      <c r="F210" s="19"/>
      <c r="G210" s="20"/>
      <c r="H210" s="24"/>
      <c r="I210" s="25"/>
    </row>
    <row r="211" ht="15.75" customHeight="1">
      <c r="B211" s="13"/>
      <c r="D211" s="16"/>
      <c r="E211" s="16"/>
      <c r="F211" s="19"/>
      <c r="G211" s="20"/>
      <c r="H211" s="24"/>
      <c r="I211" s="25"/>
    </row>
    <row r="212" ht="15.75" customHeight="1">
      <c r="B212" s="13"/>
      <c r="D212" s="16"/>
      <c r="E212" s="16"/>
      <c r="F212" s="19"/>
      <c r="G212" s="20"/>
      <c r="H212" s="24"/>
      <c r="I212" s="25"/>
    </row>
    <row r="213" ht="15.75" customHeight="1">
      <c r="B213" s="13"/>
      <c r="D213" s="16"/>
      <c r="E213" s="16"/>
      <c r="F213" s="19"/>
      <c r="G213" s="20"/>
      <c r="H213" s="24"/>
      <c r="I213" s="25"/>
    </row>
    <row r="214" ht="15.75" customHeight="1">
      <c r="B214" s="13"/>
      <c r="D214" s="16"/>
      <c r="E214" s="16"/>
      <c r="F214" s="19"/>
      <c r="G214" s="20"/>
      <c r="H214" s="24"/>
      <c r="I214" s="25"/>
    </row>
    <row r="215" ht="15.75" customHeight="1">
      <c r="B215" s="13"/>
      <c r="D215" s="16"/>
      <c r="E215" s="16"/>
      <c r="F215" s="19"/>
      <c r="G215" s="20"/>
      <c r="H215" s="24"/>
      <c r="I215" s="25"/>
    </row>
    <row r="216" ht="15.75" customHeight="1">
      <c r="B216" s="13"/>
      <c r="D216" s="16"/>
      <c r="E216" s="16"/>
      <c r="F216" s="19"/>
      <c r="G216" s="20"/>
      <c r="H216" s="24"/>
      <c r="I216" s="25"/>
    </row>
    <row r="217" ht="15.75" customHeight="1">
      <c r="B217" s="13"/>
      <c r="D217" s="16"/>
      <c r="E217" s="16"/>
      <c r="F217" s="19"/>
      <c r="G217" s="20"/>
      <c r="H217" s="24"/>
      <c r="I217" s="25"/>
    </row>
    <row r="218" ht="15.75" customHeight="1">
      <c r="B218" s="13"/>
      <c r="D218" s="16"/>
      <c r="E218" s="16"/>
      <c r="F218" s="19"/>
      <c r="G218" s="20"/>
      <c r="H218" s="24"/>
      <c r="I218" s="25"/>
    </row>
    <row r="219" ht="15.75" customHeight="1">
      <c r="B219" s="13"/>
      <c r="D219" s="16"/>
      <c r="E219" s="16"/>
      <c r="F219" s="19"/>
      <c r="G219" s="20"/>
      <c r="H219" s="24"/>
      <c r="I219" s="25"/>
    </row>
    <row r="220" ht="15.75" customHeight="1">
      <c r="B220" s="13"/>
      <c r="D220" s="16"/>
      <c r="E220" s="16"/>
      <c r="F220" s="19"/>
      <c r="G220" s="20"/>
      <c r="H220" s="24"/>
      <c r="I220" s="25"/>
    </row>
    <row r="221" ht="15.75" customHeight="1">
      <c r="B221" s="13"/>
      <c r="D221" s="16"/>
      <c r="E221" s="16"/>
      <c r="F221" s="19"/>
      <c r="G221" s="20"/>
      <c r="H221" s="24"/>
      <c r="I221" s="25"/>
    </row>
    <row r="222" ht="15.75" customHeight="1">
      <c r="B222" s="13"/>
      <c r="D222" s="16"/>
      <c r="E222" s="16"/>
      <c r="F222" s="19"/>
      <c r="G222" s="20"/>
      <c r="H222" s="24"/>
      <c r="I222" s="25"/>
    </row>
    <row r="223" ht="15.75" customHeight="1">
      <c r="B223" s="13"/>
      <c r="D223" s="16"/>
      <c r="E223" s="16"/>
      <c r="F223" s="19"/>
      <c r="G223" s="20"/>
      <c r="H223" s="24"/>
      <c r="I223" s="25"/>
    </row>
    <row r="224" ht="15.75" customHeight="1">
      <c r="B224" s="13"/>
      <c r="D224" s="16"/>
      <c r="E224" s="16"/>
      <c r="F224" s="19"/>
      <c r="G224" s="20"/>
      <c r="H224" s="24"/>
      <c r="I224" s="25"/>
    </row>
    <row r="225" ht="15.75" customHeight="1">
      <c r="B225" s="13"/>
      <c r="D225" s="16"/>
      <c r="E225" s="16"/>
      <c r="F225" s="19"/>
      <c r="G225" s="20"/>
      <c r="H225" s="24"/>
      <c r="I225" s="25"/>
    </row>
    <row r="226" ht="15.75" customHeight="1">
      <c r="B226" s="13"/>
      <c r="D226" s="16"/>
      <c r="E226" s="16"/>
      <c r="F226" s="19"/>
      <c r="G226" s="20"/>
      <c r="H226" s="24"/>
      <c r="I226" s="25"/>
    </row>
    <row r="227" ht="15.75" customHeight="1">
      <c r="B227" s="13"/>
      <c r="D227" s="16"/>
      <c r="E227" s="16"/>
      <c r="F227" s="19"/>
      <c r="G227" s="20"/>
      <c r="H227" s="24"/>
      <c r="I227" s="25"/>
    </row>
    <row r="228" ht="15.75" customHeight="1">
      <c r="B228" s="13"/>
      <c r="D228" s="16"/>
      <c r="E228" s="16"/>
      <c r="F228" s="19"/>
      <c r="G228" s="20"/>
      <c r="H228" s="24"/>
      <c r="I228" s="25"/>
    </row>
    <row r="229" ht="15.75" customHeight="1">
      <c r="B229" s="13"/>
      <c r="D229" s="16"/>
      <c r="E229" s="16"/>
      <c r="F229" s="19"/>
      <c r="G229" s="20"/>
      <c r="H229" s="24"/>
      <c r="I229" s="25"/>
    </row>
    <row r="230" ht="15.75" customHeight="1">
      <c r="B230" s="13"/>
      <c r="D230" s="16"/>
      <c r="E230" s="16"/>
      <c r="F230" s="19"/>
      <c r="G230" s="20"/>
      <c r="H230" s="24"/>
      <c r="I230" s="25"/>
    </row>
    <row r="231" ht="15.75" customHeight="1">
      <c r="B231" s="13"/>
      <c r="D231" s="16"/>
      <c r="E231" s="16"/>
      <c r="F231" s="19"/>
      <c r="G231" s="20"/>
      <c r="H231" s="24"/>
      <c r="I231" s="25"/>
    </row>
    <row r="232" ht="15.75" customHeight="1">
      <c r="B232" s="13"/>
      <c r="D232" s="16"/>
      <c r="E232" s="16"/>
      <c r="F232" s="19"/>
      <c r="G232" s="20"/>
      <c r="H232" s="24"/>
      <c r="I232" s="25"/>
    </row>
    <row r="233" ht="15.75" customHeight="1">
      <c r="B233" s="13"/>
      <c r="D233" s="16"/>
      <c r="E233" s="16"/>
      <c r="F233" s="19"/>
      <c r="G233" s="20"/>
      <c r="H233" s="24"/>
      <c r="I233" s="25"/>
    </row>
    <row r="234" ht="15.75" customHeight="1">
      <c r="B234" s="13"/>
      <c r="D234" s="16"/>
      <c r="E234" s="16"/>
      <c r="F234" s="19"/>
      <c r="G234" s="20"/>
      <c r="H234" s="24"/>
      <c r="I234" s="25"/>
    </row>
    <row r="235" ht="15.75" customHeight="1">
      <c r="B235" s="13"/>
      <c r="D235" s="16"/>
      <c r="E235" s="16"/>
      <c r="F235" s="19"/>
      <c r="G235" s="20"/>
      <c r="H235" s="24"/>
      <c r="I235" s="25"/>
    </row>
    <row r="236" ht="15.75" customHeight="1">
      <c r="B236" s="13"/>
      <c r="D236" s="16"/>
      <c r="E236" s="16"/>
      <c r="F236" s="19"/>
      <c r="G236" s="20"/>
      <c r="H236" s="24"/>
      <c r="I236" s="25"/>
    </row>
    <row r="237" ht="15.75" customHeight="1">
      <c r="B237" s="13"/>
      <c r="D237" s="16"/>
      <c r="E237" s="16"/>
      <c r="F237" s="19"/>
      <c r="G237" s="20"/>
      <c r="H237" s="24"/>
      <c r="I237" s="25"/>
    </row>
    <row r="238" ht="15.75" customHeight="1">
      <c r="B238" s="13"/>
      <c r="D238" s="16"/>
      <c r="E238" s="16"/>
      <c r="F238" s="19"/>
      <c r="G238" s="20"/>
      <c r="H238" s="24"/>
      <c r="I238" s="25"/>
    </row>
    <row r="239" ht="15.75" customHeight="1">
      <c r="B239" s="13"/>
      <c r="D239" s="16"/>
      <c r="E239" s="16"/>
      <c r="F239" s="19"/>
      <c r="G239" s="20"/>
      <c r="H239" s="24"/>
      <c r="I239" s="25"/>
    </row>
    <row r="240" ht="15.75" customHeight="1">
      <c r="B240" s="13"/>
      <c r="D240" s="16"/>
      <c r="E240" s="16"/>
      <c r="F240" s="19"/>
      <c r="G240" s="20"/>
      <c r="H240" s="24"/>
      <c r="I240" s="25"/>
    </row>
    <row r="241" ht="15.75" customHeight="1">
      <c r="B241" s="13"/>
      <c r="D241" s="16"/>
      <c r="E241" s="16"/>
      <c r="F241" s="19"/>
      <c r="G241" s="20"/>
      <c r="H241" s="24"/>
      <c r="I241" s="25"/>
    </row>
    <row r="242" ht="15.75" customHeight="1">
      <c r="B242" s="13"/>
      <c r="D242" s="16"/>
      <c r="E242" s="16"/>
      <c r="F242" s="19"/>
      <c r="G242" s="20"/>
      <c r="H242" s="24"/>
      <c r="I242" s="25"/>
    </row>
    <row r="243" ht="15.75" customHeight="1">
      <c r="B243" s="13"/>
      <c r="D243" s="16"/>
      <c r="E243" s="16"/>
      <c r="F243" s="19"/>
      <c r="G243" s="20"/>
      <c r="H243" s="24"/>
      <c r="I243" s="25"/>
    </row>
    <row r="244" ht="15.75" customHeight="1">
      <c r="B244" s="13"/>
      <c r="D244" s="16"/>
      <c r="E244" s="16"/>
      <c r="F244" s="19"/>
      <c r="G244" s="20"/>
      <c r="H244" s="24"/>
      <c r="I244" s="25"/>
    </row>
    <row r="245" ht="15.75" customHeight="1">
      <c r="B245" s="13"/>
      <c r="D245" s="16"/>
      <c r="E245" s="16"/>
      <c r="F245" s="19"/>
      <c r="G245" s="20"/>
      <c r="H245" s="24"/>
      <c r="I245" s="25"/>
    </row>
    <row r="246" ht="15.75" customHeight="1">
      <c r="B246" s="13"/>
      <c r="D246" s="16"/>
      <c r="E246" s="16"/>
      <c r="F246" s="19"/>
      <c r="G246" s="20"/>
      <c r="H246" s="24"/>
      <c r="I246" s="25"/>
    </row>
    <row r="247" ht="15.75" customHeight="1">
      <c r="B247" s="13"/>
      <c r="D247" s="16"/>
      <c r="E247" s="16"/>
      <c r="F247" s="19"/>
      <c r="G247" s="20"/>
      <c r="H247" s="24"/>
      <c r="I247" s="25"/>
    </row>
    <row r="248" ht="15.75" customHeight="1">
      <c r="B248" s="13"/>
      <c r="D248" s="16"/>
      <c r="E248" s="16"/>
      <c r="F248" s="19"/>
      <c r="G248" s="20"/>
      <c r="H248" s="24"/>
      <c r="I248" s="25"/>
    </row>
    <row r="249" ht="15.75" customHeight="1">
      <c r="B249" s="13"/>
      <c r="D249" s="16"/>
      <c r="E249" s="16"/>
      <c r="F249" s="19"/>
      <c r="G249" s="20"/>
      <c r="H249" s="24"/>
      <c r="I249" s="25"/>
    </row>
    <row r="250" ht="15.75" customHeight="1">
      <c r="B250" s="13"/>
      <c r="D250" s="16"/>
      <c r="E250" s="16"/>
      <c r="F250" s="19"/>
      <c r="G250" s="20"/>
      <c r="H250" s="24"/>
      <c r="I250" s="25"/>
    </row>
    <row r="251" ht="15.75" customHeight="1">
      <c r="B251" s="13"/>
      <c r="D251" s="16"/>
      <c r="E251" s="16"/>
      <c r="F251" s="19"/>
      <c r="G251" s="20"/>
      <c r="H251" s="24"/>
      <c r="I251" s="25"/>
    </row>
    <row r="252" ht="15.75" customHeight="1">
      <c r="B252" s="13"/>
      <c r="D252" s="16"/>
      <c r="E252" s="16"/>
      <c r="F252" s="19"/>
      <c r="G252" s="20"/>
      <c r="H252" s="24"/>
      <c r="I252" s="25"/>
    </row>
    <row r="253" ht="15.75" customHeight="1">
      <c r="B253" s="13"/>
      <c r="D253" s="16"/>
      <c r="E253" s="16"/>
      <c r="F253" s="19"/>
      <c r="G253" s="20"/>
      <c r="H253" s="24"/>
      <c r="I253" s="25"/>
    </row>
    <row r="254" ht="15.75" customHeight="1">
      <c r="B254" s="13"/>
      <c r="D254" s="16"/>
      <c r="E254" s="16"/>
      <c r="F254" s="19"/>
      <c r="G254" s="20"/>
      <c r="H254" s="24"/>
      <c r="I254" s="25"/>
    </row>
    <row r="255" ht="15.75" customHeight="1">
      <c r="B255" s="13"/>
      <c r="D255" s="16"/>
      <c r="E255" s="16"/>
      <c r="F255" s="19"/>
      <c r="G255" s="20"/>
      <c r="H255" s="24"/>
      <c r="I255" s="25"/>
    </row>
    <row r="256" ht="15.75" customHeight="1">
      <c r="B256" s="13"/>
      <c r="D256" s="16"/>
      <c r="E256" s="16"/>
      <c r="F256" s="19"/>
      <c r="G256" s="20"/>
      <c r="H256" s="24"/>
      <c r="I256" s="25"/>
    </row>
    <row r="257" ht="15.75" customHeight="1">
      <c r="B257" s="13"/>
      <c r="D257" s="16"/>
      <c r="E257" s="16"/>
      <c r="F257" s="19"/>
      <c r="G257" s="20"/>
      <c r="H257" s="24"/>
      <c r="I257" s="25"/>
    </row>
    <row r="258" ht="15.75" customHeight="1">
      <c r="B258" s="13"/>
      <c r="D258" s="16"/>
      <c r="E258" s="16"/>
      <c r="F258" s="19"/>
      <c r="G258" s="20"/>
      <c r="H258" s="24"/>
      <c r="I258" s="25"/>
    </row>
    <row r="259" ht="15.75" customHeight="1">
      <c r="B259" s="13"/>
      <c r="D259" s="16"/>
      <c r="E259" s="16"/>
      <c r="F259" s="19"/>
      <c r="G259" s="20"/>
      <c r="H259" s="24"/>
      <c r="I259" s="25"/>
    </row>
    <row r="260" ht="15.75" customHeight="1">
      <c r="B260" s="13"/>
      <c r="D260" s="16"/>
      <c r="E260" s="16"/>
      <c r="F260" s="19"/>
      <c r="G260" s="20"/>
      <c r="H260" s="24"/>
      <c r="I260" s="25"/>
    </row>
    <row r="261" ht="15.75" customHeight="1">
      <c r="B261" s="13"/>
      <c r="D261" s="16"/>
      <c r="E261" s="16"/>
      <c r="F261" s="19"/>
      <c r="G261" s="20"/>
      <c r="H261" s="24"/>
      <c r="I261" s="25"/>
    </row>
    <row r="262" ht="15.75" customHeight="1">
      <c r="B262" s="13"/>
      <c r="D262" s="16"/>
      <c r="E262" s="16"/>
      <c r="F262" s="19"/>
      <c r="G262" s="20"/>
      <c r="H262" s="24"/>
      <c r="I262" s="25"/>
    </row>
    <row r="263" ht="15.75" customHeight="1">
      <c r="B263" s="13"/>
      <c r="D263" s="16"/>
      <c r="E263" s="16"/>
      <c r="F263" s="19"/>
      <c r="G263" s="20"/>
      <c r="H263" s="24"/>
      <c r="I263" s="25"/>
    </row>
    <row r="264" ht="15.75" customHeight="1">
      <c r="B264" s="13"/>
      <c r="D264" s="16"/>
      <c r="E264" s="16"/>
      <c r="F264" s="19"/>
      <c r="G264" s="20"/>
      <c r="H264" s="24"/>
      <c r="I264" s="25"/>
    </row>
    <row r="265" ht="15.75" customHeight="1">
      <c r="B265" s="13"/>
      <c r="D265" s="16"/>
      <c r="E265" s="16"/>
      <c r="F265" s="19"/>
      <c r="G265" s="20"/>
      <c r="H265" s="24"/>
      <c r="I265" s="25"/>
    </row>
    <row r="266" ht="15.75" customHeight="1">
      <c r="B266" s="13"/>
      <c r="D266" s="16"/>
      <c r="E266" s="16"/>
      <c r="F266" s="19"/>
      <c r="G266" s="20"/>
      <c r="H266" s="24"/>
      <c r="I266" s="25"/>
    </row>
    <row r="267" ht="15.75" customHeight="1">
      <c r="B267" s="13"/>
      <c r="D267" s="16"/>
      <c r="E267" s="16"/>
      <c r="F267" s="19"/>
      <c r="G267" s="20"/>
      <c r="H267" s="24"/>
      <c r="I267" s="25"/>
    </row>
    <row r="268" ht="15.75" customHeight="1">
      <c r="B268" s="13"/>
      <c r="D268" s="16"/>
      <c r="E268" s="16"/>
      <c r="F268" s="19"/>
      <c r="G268" s="20"/>
      <c r="H268" s="24"/>
      <c r="I268" s="25"/>
    </row>
    <row r="269" ht="15.75" customHeight="1">
      <c r="B269" s="13"/>
      <c r="D269" s="16"/>
      <c r="E269" s="16"/>
      <c r="F269" s="19"/>
      <c r="G269" s="20"/>
      <c r="H269" s="24"/>
      <c r="I269" s="25"/>
    </row>
    <row r="270" ht="15.75" customHeight="1">
      <c r="B270" s="13"/>
      <c r="D270" s="16"/>
      <c r="E270" s="16"/>
      <c r="F270" s="19"/>
      <c r="G270" s="20"/>
      <c r="H270" s="24"/>
      <c r="I270" s="25"/>
    </row>
    <row r="271" ht="15.75" customHeight="1">
      <c r="B271" s="13"/>
      <c r="D271" s="16"/>
      <c r="E271" s="16"/>
      <c r="F271" s="19"/>
      <c r="G271" s="20"/>
      <c r="H271" s="24"/>
      <c r="I271" s="25"/>
    </row>
    <row r="272" ht="15.75" customHeight="1">
      <c r="B272" s="13"/>
      <c r="D272" s="16"/>
      <c r="E272" s="16"/>
      <c r="F272" s="19"/>
      <c r="G272" s="20"/>
      <c r="H272" s="24"/>
      <c r="I272" s="25"/>
    </row>
    <row r="273" ht="15.75" customHeight="1">
      <c r="B273" s="13"/>
      <c r="D273" s="16"/>
      <c r="E273" s="16"/>
      <c r="F273" s="19"/>
      <c r="G273" s="20"/>
      <c r="H273" s="24"/>
      <c r="I273" s="25"/>
    </row>
    <row r="274" ht="15.75" customHeight="1">
      <c r="B274" s="13"/>
      <c r="D274" s="16"/>
      <c r="E274" s="16"/>
      <c r="F274" s="19"/>
      <c r="G274" s="20"/>
      <c r="H274" s="24"/>
      <c r="I274" s="25"/>
    </row>
    <row r="275" ht="15.75" customHeight="1">
      <c r="B275" s="13"/>
      <c r="D275" s="16"/>
      <c r="E275" s="16"/>
      <c r="F275" s="19"/>
      <c r="G275" s="20"/>
      <c r="H275" s="24"/>
      <c r="I275" s="25"/>
    </row>
    <row r="276" ht="15.75" customHeight="1">
      <c r="B276" s="13"/>
      <c r="D276" s="16"/>
      <c r="E276" s="16"/>
      <c r="F276" s="19"/>
      <c r="G276" s="20"/>
      <c r="H276" s="24"/>
      <c r="I276" s="25"/>
    </row>
    <row r="277" ht="15.75" customHeight="1">
      <c r="B277" s="13"/>
      <c r="D277" s="16"/>
      <c r="E277" s="16"/>
      <c r="F277" s="19"/>
      <c r="G277" s="20"/>
      <c r="H277" s="24"/>
      <c r="I277" s="25"/>
    </row>
    <row r="278" ht="15.75" customHeight="1">
      <c r="B278" s="13"/>
      <c r="D278" s="16"/>
      <c r="E278" s="16"/>
      <c r="F278" s="19"/>
      <c r="G278" s="20"/>
      <c r="H278" s="24"/>
      <c r="I278" s="25"/>
    </row>
    <row r="279" ht="15.75" customHeight="1">
      <c r="B279" s="13"/>
      <c r="D279" s="16"/>
      <c r="E279" s="16"/>
      <c r="F279" s="19"/>
      <c r="G279" s="20"/>
      <c r="H279" s="24"/>
      <c r="I279" s="25"/>
    </row>
    <row r="280" ht="15.75" customHeight="1">
      <c r="B280" s="13"/>
      <c r="D280" s="16"/>
      <c r="E280" s="16"/>
      <c r="F280" s="19"/>
      <c r="G280" s="20"/>
      <c r="H280" s="24"/>
      <c r="I280" s="25"/>
    </row>
    <row r="281" ht="15.75" customHeight="1">
      <c r="B281" s="13"/>
      <c r="D281" s="16"/>
      <c r="E281" s="16"/>
      <c r="F281" s="19"/>
      <c r="G281" s="20"/>
      <c r="H281" s="24"/>
      <c r="I281" s="25"/>
    </row>
    <row r="282" ht="15.75" customHeight="1">
      <c r="B282" s="13"/>
      <c r="D282" s="16"/>
      <c r="E282" s="16"/>
      <c r="F282" s="19"/>
      <c r="G282" s="20"/>
      <c r="H282" s="24"/>
      <c r="I282" s="25"/>
    </row>
    <row r="283" ht="15.75" customHeight="1">
      <c r="B283" s="13"/>
      <c r="D283" s="16"/>
      <c r="E283" s="16"/>
      <c r="F283" s="19"/>
      <c r="G283" s="20"/>
      <c r="H283" s="24"/>
      <c r="I283" s="25"/>
    </row>
    <row r="284" ht="15.75" customHeight="1">
      <c r="B284" s="13"/>
      <c r="D284" s="16"/>
      <c r="E284" s="16"/>
      <c r="F284" s="19"/>
      <c r="G284" s="20"/>
      <c r="H284" s="24"/>
      <c r="I284" s="25"/>
    </row>
    <row r="285" ht="15.75" customHeight="1">
      <c r="B285" s="13"/>
      <c r="D285" s="16"/>
      <c r="E285" s="16"/>
      <c r="F285" s="19"/>
      <c r="G285" s="20"/>
      <c r="H285" s="24"/>
      <c r="I285" s="25"/>
    </row>
    <row r="286" ht="15.75" customHeight="1">
      <c r="B286" s="13"/>
      <c r="D286" s="16"/>
      <c r="E286" s="16"/>
      <c r="F286" s="19"/>
      <c r="G286" s="20"/>
      <c r="H286" s="24"/>
      <c r="I286" s="25"/>
    </row>
    <row r="287" ht="15.75" customHeight="1">
      <c r="B287" s="13"/>
      <c r="D287" s="16"/>
      <c r="E287" s="16"/>
      <c r="F287" s="19"/>
      <c r="G287" s="20"/>
      <c r="H287" s="24"/>
      <c r="I287" s="25"/>
    </row>
    <row r="288" ht="15.75" customHeight="1">
      <c r="B288" s="13"/>
      <c r="D288" s="16"/>
      <c r="E288" s="16"/>
      <c r="F288" s="19"/>
      <c r="G288" s="20"/>
      <c r="H288" s="24"/>
      <c r="I288" s="25"/>
    </row>
    <row r="289" ht="15.75" customHeight="1">
      <c r="B289" s="13"/>
      <c r="D289" s="16"/>
      <c r="E289" s="16"/>
      <c r="F289" s="19"/>
      <c r="G289" s="20"/>
      <c r="H289" s="24"/>
      <c r="I289" s="25"/>
    </row>
    <row r="290" ht="15.75" customHeight="1">
      <c r="B290" s="13"/>
      <c r="D290" s="16"/>
      <c r="E290" s="16"/>
      <c r="F290" s="19"/>
      <c r="G290" s="20"/>
      <c r="H290" s="24"/>
      <c r="I290" s="25"/>
    </row>
    <row r="291" ht="15.75" customHeight="1">
      <c r="B291" s="13"/>
      <c r="D291" s="16"/>
      <c r="E291" s="16"/>
      <c r="F291" s="19"/>
      <c r="G291" s="20"/>
      <c r="H291" s="24"/>
      <c r="I291" s="25"/>
    </row>
    <row r="292" ht="15.75" customHeight="1">
      <c r="B292" s="13"/>
      <c r="D292" s="16"/>
      <c r="E292" s="16"/>
      <c r="F292" s="19"/>
      <c r="G292" s="20"/>
      <c r="H292" s="24"/>
      <c r="I292" s="25"/>
    </row>
    <row r="293" ht="15.75" customHeight="1">
      <c r="B293" s="13"/>
      <c r="D293" s="16"/>
      <c r="E293" s="16"/>
      <c r="F293" s="19"/>
      <c r="G293" s="20"/>
      <c r="H293" s="24"/>
      <c r="I293" s="25"/>
    </row>
    <row r="294" ht="15.75" customHeight="1">
      <c r="B294" s="13"/>
      <c r="D294" s="16"/>
      <c r="E294" s="16"/>
      <c r="F294" s="19"/>
      <c r="G294" s="20"/>
      <c r="H294" s="24"/>
      <c r="I294" s="25"/>
    </row>
    <row r="295" ht="15.75" customHeight="1">
      <c r="B295" s="13"/>
      <c r="D295" s="16"/>
      <c r="E295" s="16"/>
      <c r="F295" s="19"/>
      <c r="G295" s="20"/>
      <c r="H295" s="24"/>
      <c r="I295" s="25"/>
    </row>
    <row r="296" ht="15.75" customHeight="1">
      <c r="B296" s="13"/>
      <c r="D296" s="16"/>
      <c r="E296" s="16"/>
      <c r="F296" s="19"/>
      <c r="G296" s="20"/>
      <c r="H296" s="24"/>
      <c r="I296" s="25"/>
    </row>
    <row r="297" ht="15.75" customHeight="1">
      <c r="B297" s="13"/>
      <c r="D297" s="16"/>
      <c r="E297" s="16"/>
      <c r="F297" s="19"/>
      <c r="G297" s="20"/>
      <c r="H297" s="24"/>
      <c r="I297" s="25"/>
    </row>
    <row r="298" ht="15.75" customHeight="1">
      <c r="B298" s="13"/>
      <c r="D298" s="16"/>
      <c r="E298" s="16"/>
      <c r="F298" s="19"/>
      <c r="G298" s="20"/>
      <c r="H298" s="24"/>
      <c r="I298" s="25"/>
    </row>
    <row r="299" ht="15.75" customHeight="1">
      <c r="B299" s="13"/>
      <c r="D299" s="16"/>
      <c r="E299" s="16"/>
      <c r="F299" s="19"/>
      <c r="G299" s="20"/>
      <c r="H299" s="24"/>
      <c r="I299" s="25"/>
    </row>
    <row r="300" ht="15.75" customHeight="1">
      <c r="B300" s="13"/>
      <c r="D300" s="16"/>
      <c r="E300" s="16"/>
      <c r="F300" s="19"/>
      <c r="G300" s="20"/>
      <c r="H300" s="24"/>
      <c r="I300" s="25"/>
    </row>
    <row r="301" ht="15.75" customHeight="1">
      <c r="B301" s="13"/>
      <c r="D301" s="16"/>
      <c r="E301" s="16"/>
      <c r="F301" s="19"/>
      <c r="G301" s="20"/>
      <c r="H301" s="24"/>
      <c r="I301" s="25"/>
    </row>
    <row r="302" ht="15.75" customHeight="1">
      <c r="B302" s="13"/>
      <c r="D302" s="16"/>
      <c r="E302" s="16"/>
      <c r="F302" s="19"/>
      <c r="G302" s="20"/>
      <c r="H302" s="24"/>
      <c r="I302" s="25"/>
    </row>
    <row r="303" ht="15.75" customHeight="1">
      <c r="B303" s="13"/>
      <c r="D303" s="16"/>
      <c r="E303" s="16"/>
      <c r="F303" s="19"/>
      <c r="G303" s="20"/>
      <c r="H303" s="24"/>
      <c r="I303" s="25"/>
    </row>
    <row r="304" ht="15.75" customHeight="1">
      <c r="B304" s="13"/>
      <c r="D304" s="16"/>
      <c r="E304" s="16"/>
      <c r="F304" s="19"/>
      <c r="G304" s="20"/>
      <c r="H304" s="24"/>
      <c r="I304" s="25"/>
    </row>
    <row r="305" ht="15.75" customHeight="1">
      <c r="B305" s="13"/>
      <c r="D305" s="16"/>
      <c r="E305" s="16"/>
      <c r="F305" s="19"/>
      <c r="G305" s="20"/>
      <c r="H305" s="24"/>
      <c r="I305" s="25"/>
    </row>
    <row r="306" ht="15.75" customHeight="1">
      <c r="B306" s="13"/>
      <c r="D306" s="16"/>
      <c r="E306" s="16"/>
      <c r="F306" s="19"/>
      <c r="G306" s="20"/>
      <c r="H306" s="24"/>
      <c r="I306" s="25"/>
    </row>
    <row r="307" ht="15.75" customHeight="1">
      <c r="B307" s="13"/>
      <c r="D307" s="16"/>
      <c r="E307" s="16"/>
      <c r="F307" s="19"/>
      <c r="G307" s="20"/>
      <c r="H307" s="24"/>
      <c r="I307" s="25"/>
    </row>
    <row r="308" ht="15.75" customHeight="1">
      <c r="B308" s="13"/>
      <c r="D308" s="16"/>
      <c r="E308" s="16"/>
      <c r="F308" s="19"/>
      <c r="G308" s="20"/>
      <c r="H308" s="24"/>
      <c r="I308" s="25"/>
    </row>
    <row r="309" ht="15.75" customHeight="1">
      <c r="B309" s="13"/>
      <c r="D309" s="16"/>
      <c r="E309" s="16"/>
      <c r="F309" s="19"/>
      <c r="G309" s="20"/>
      <c r="H309" s="24"/>
      <c r="I309" s="25"/>
    </row>
    <row r="310" ht="15.75" customHeight="1">
      <c r="B310" s="13"/>
      <c r="D310" s="16"/>
      <c r="E310" s="16"/>
      <c r="F310" s="19"/>
      <c r="G310" s="20"/>
      <c r="H310" s="24"/>
      <c r="I310" s="25"/>
    </row>
    <row r="311" ht="15.75" customHeight="1">
      <c r="B311" s="13"/>
      <c r="D311" s="16"/>
      <c r="E311" s="16"/>
      <c r="F311" s="19"/>
      <c r="G311" s="20"/>
      <c r="H311" s="24"/>
      <c r="I311" s="25"/>
    </row>
    <row r="312" ht="15.75" customHeight="1">
      <c r="B312" s="13"/>
      <c r="D312" s="16"/>
      <c r="E312" s="16"/>
      <c r="F312" s="19"/>
      <c r="G312" s="20"/>
      <c r="H312" s="24"/>
      <c r="I312" s="25"/>
    </row>
    <row r="313" ht="15.75" customHeight="1">
      <c r="B313" s="13"/>
      <c r="D313" s="16"/>
      <c r="E313" s="16"/>
      <c r="F313" s="19"/>
      <c r="G313" s="20"/>
      <c r="H313" s="24"/>
      <c r="I313" s="25"/>
    </row>
    <row r="314" ht="15.75" customHeight="1">
      <c r="B314" s="13"/>
      <c r="D314" s="16"/>
      <c r="E314" s="16"/>
      <c r="F314" s="19"/>
      <c r="G314" s="20"/>
      <c r="H314" s="24"/>
      <c r="I314" s="25"/>
    </row>
    <row r="315" ht="15.75" customHeight="1">
      <c r="B315" s="13"/>
      <c r="D315" s="16"/>
      <c r="E315" s="16"/>
      <c r="F315" s="19"/>
      <c r="G315" s="20"/>
      <c r="H315" s="24"/>
      <c r="I315" s="25"/>
    </row>
    <row r="316" ht="15.75" customHeight="1">
      <c r="B316" s="13"/>
      <c r="D316" s="16"/>
      <c r="E316" s="16"/>
      <c r="F316" s="19"/>
      <c r="G316" s="20"/>
      <c r="H316" s="24"/>
      <c r="I316" s="25"/>
    </row>
    <row r="317" ht="15.75" customHeight="1">
      <c r="B317" s="13"/>
      <c r="D317" s="16"/>
      <c r="E317" s="16"/>
      <c r="F317" s="19"/>
      <c r="G317" s="20"/>
      <c r="H317" s="24"/>
      <c r="I317" s="25"/>
    </row>
    <row r="318" ht="15.75" customHeight="1">
      <c r="B318" s="13"/>
      <c r="D318" s="16"/>
      <c r="E318" s="16"/>
      <c r="F318" s="19"/>
      <c r="G318" s="20"/>
      <c r="H318" s="24"/>
      <c r="I318" s="25"/>
    </row>
    <row r="319" ht="15.75" customHeight="1">
      <c r="B319" s="13"/>
      <c r="D319" s="16"/>
      <c r="E319" s="16"/>
      <c r="F319" s="19"/>
      <c r="G319" s="20"/>
      <c r="H319" s="24"/>
      <c r="I319" s="25"/>
    </row>
    <row r="320" ht="15.75" customHeight="1">
      <c r="B320" s="13"/>
      <c r="D320" s="16"/>
      <c r="E320" s="16"/>
      <c r="F320" s="19"/>
      <c r="G320" s="20"/>
      <c r="H320" s="24"/>
      <c r="I320" s="25"/>
    </row>
    <row r="321" ht="15.75" customHeight="1">
      <c r="B321" s="13"/>
      <c r="D321" s="16"/>
      <c r="E321" s="16"/>
      <c r="F321" s="19"/>
      <c r="G321" s="20"/>
      <c r="H321" s="24"/>
      <c r="I321" s="25"/>
    </row>
    <row r="322" ht="15.75" customHeight="1">
      <c r="B322" s="13"/>
      <c r="D322" s="16"/>
      <c r="E322" s="16"/>
      <c r="F322" s="19"/>
      <c r="G322" s="20"/>
      <c r="H322" s="24"/>
      <c r="I322" s="25"/>
    </row>
    <row r="323" ht="15.75" customHeight="1">
      <c r="B323" s="13"/>
      <c r="D323" s="16"/>
      <c r="E323" s="16"/>
      <c r="F323" s="19"/>
      <c r="G323" s="20"/>
      <c r="H323" s="24"/>
      <c r="I323" s="25"/>
    </row>
    <row r="324" ht="15.75" customHeight="1">
      <c r="B324" s="13"/>
      <c r="D324" s="16"/>
      <c r="E324" s="16"/>
      <c r="F324" s="19"/>
      <c r="G324" s="20"/>
      <c r="H324" s="24"/>
      <c r="I324" s="25"/>
    </row>
    <row r="325" ht="15.75" customHeight="1">
      <c r="B325" s="13"/>
      <c r="D325" s="16"/>
      <c r="E325" s="16"/>
      <c r="F325" s="19"/>
      <c r="G325" s="20"/>
      <c r="H325" s="24"/>
      <c r="I325" s="25"/>
    </row>
    <row r="326" ht="15.75" customHeight="1">
      <c r="B326" s="13"/>
      <c r="D326" s="16"/>
      <c r="E326" s="16"/>
      <c r="F326" s="19"/>
      <c r="G326" s="20"/>
      <c r="H326" s="24"/>
      <c r="I326" s="25"/>
    </row>
    <row r="327" ht="15.75" customHeight="1">
      <c r="B327" s="13"/>
      <c r="D327" s="16"/>
      <c r="E327" s="16"/>
      <c r="F327" s="19"/>
      <c r="G327" s="20"/>
      <c r="H327" s="24"/>
      <c r="I327" s="25"/>
    </row>
    <row r="328" ht="15.75" customHeight="1">
      <c r="B328" s="13"/>
      <c r="D328" s="16"/>
      <c r="E328" s="16"/>
      <c r="F328" s="19"/>
      <c r="G328" s="20"/>
      <c r="H328" s="24"/>
      <c r="I328" s="25"/>
    </row>
    <row r="329" ht="15.75" customHeight="1">
      <c r="B329" s="13"/>
      <c r="D329" s="16"/>
      <c r="E329" s="16"/>
      <c r="F329" s="19"/>
      <c r="G329" s="20"/>
      <c r="H329" s="24"/>
      <c r="I329" s="25"/>
    </row>
    <row r="330" ht="15.75" customHeight="1">
      <c r="B330" s="13"/>
      <c r="D330" s="16"/>
      <c r="E330" s="16"/>
      <c r="F330" s="19"/>
      <c r="G330" s="20"/>
      <c r="H330" s="24"/>
      <c r="I330" s="25"/>
    </row>
    <row r="331" ht="15.75" customHeight="1">
      <c r="B331" s="13"/>
      <c r="D331" s="16"/>
      <c r="E331" s="16"/>
      <c r="F331" s="19"/>
      <c r="G331" s="20"/>
      <c r="H331" s="24"/>
      <c r="I331" s="25"/>
    </row>
    <row r="332" ht="15.75" customHeight="1">
      <c r="B332" s="13"/>
      <c r="D332" s="16"/>
      <c r="E332" s="16"/>
      <c r="F332" s="19"/>
      <c r="G332" s="20"/>
      <c r="H332" s="24"/>
      <c r="I332" s="25"/>
    </row>
    <row r="333" ht="15.75" customHeight="1">
      <c r="B333" s="13"/>
      <c r="D333" s="16"/>
      <c r="E333" s="16"/>
      <c r="F333" s="19"/>
      <c r="G333" s="20"/>
      <c r="H333" s="24"/>
      <c r="I333" s="25"/>
    </row>
    <row r="334" ht="15.75" customHeight="1">
      <c r="B334" s="13"/>
      <c r="D334" s="16"/>
      <c r="E334" s="16"/>
      <c r="F334" s="19"/>
      <c r="G334" s="20"/>
      <c r="H334" s="24"/>
      <c r="I334" s="25"/>
    </row>
    <row r="335" ht="15.75" customHeight="1">
      <c r="B335" s="13"/>
      <c r="D335" s="16"/>
      <c r="E335" s="16"/>
      <c r="F335" s="19"/>
      <c r="G335" s="20"/>
      <c r="H335" s="24"/>
      <c r="I335" s="25"/>
    </row>
    <row r="336" ht="15.75" customHeight="1">
      <c r="B336" s="13"/>
      <c r="D336" s="16"/>
      <c r="E336" s="16"/>
      <c r="F336" s="19"/>
      <c r="G336" s="20"/>
      <c r="H336" s="24"/>
      <c r="I336" s="25"/>
    </row>
    <row r="337" ht="15.75" customHeight="1">
      <c r="B337" s="13"/>
      <c r="D337" s="16"/>
      <c r="E337" s="16"/>
      <c r="F337" s="19"/>
      <c r="G337" s="20"/>
      <c r="H337" s="24"/>
      <c r="I337" s="25"/>
    </row>
    <row r="338" ht="15.75" customHeight="1">
      <c r="B338" s="13"/>
      <c r="D338" s="16"/>
      <c r="E338" s="16"/>
      <c r="F338" s="19"/>
      <c r="G338" s="20"/>
      <c r="H338" s="24"/>
      <c r="I338" s="25"/>
    </row>
    <row r="339" ht="15.75" customHeight="1">
      <c r="B339" s="13"/>
      <c r="D339" s="16"/>
      <c r="E339" s="16"/>
      <c r="F339" s="19"/>
      <c r="G339" s="20"/>
      <c r="H339" s="24"/>
      <c r="I339" s="25"/>
    </row>
    <row r="340" ht="15.75" customHeight="1">
      <c r="B340" s="13"/>
      <c r="D340" s="16"/>
      <c r="E340" s="16"/>
      <c r="F340" s="19"/>
      <c r="G340" s="20"/>
      <c r="H340" s="24"/>
      <c r="I340" s="25"/>
    </row>
    <row r="341" ht="15.75" customHeight="1">
      <c r="B341" s="13"/>
      <c r="D341" s="16"/>
      <c r="E341" s="16"/>
      <c r="F341" s="19"/>
      <c r="G341" s="20"/>
      <c r="H341" s="24"/>
      <c r="I341" s="25"/>
    </row>
    <row r="342" ht="15.75" customHeight="1">
      <c r="B342" s="13"/>
      <c r="D342" s="16"/>
      <c r="E342" s="16"/>
      <c r="F342" s="19"/>
      <c r="G342" s="20"/>
      <c r="H342" s="24"/>
      <c r="I342" s="25"/>
    </row>
    <row r="343" ht="15.75" customHeight="1">
      <c r="B343" s="13"/>
      <c r="D343" s="16"/>
      <c r="E343" s="16"/>
      <c r="F343" s="19"/>
      <c r="G343" s="20"/>
      <c r="H343" s="24"/>
      <c r="I343" s="25"/>
    </row>
    <row r="344" ht="15.75" customHeight="1">
      <c r="B344" s="13"/>
      <c r="D344" s="16"/>
      <c r="E344" s="16"/>
      <c r="F344" s="19"/>
      <c r="G344" s="20"/>
      <c r="H344" s="24"/>
      <c r="I344" s="25"/>
    </row>
    <row r="345" ht="15.75" customHeight="1">
      <c r="B345" s="13"/>
      <c r="D345" s="16"/>
      <c r="E345" s="16"/>
      <c r="F345" s="19"/>
      <c r="G345" s="20"/>
      <c r="H345" s="24"/>
      <c r="I345" s="25"/>
    </row>
    <row r="346" ht="15.75" customHeight="1">
      <c r="B346" s="13"/>
      <c r="D346" s="16"/>
      <c r="E346" s="16"/>
      <c r="F346" s="19"/>
      <c r="G346" s="20"/>
      <c r="H346" s="24"/>
      <c r="I346" s="25"/>
    </row>
    <row r="347" ht="15.75" customHeight="1">
      <c r="B347" s="13"/>
      <c r="D347" s="16"/>
      <c r="E347" s="16"/>
      <c r="F347" s="19"/>
      <c r="G347" s="20"/>
      <c r="H347" s="24"/>
      <c r="I347" s="25"/>
    </row>
    <row r="348" ht="15.75" customHeight="1">
      <c r="B348" s="13"/>
      <c r="D348" s="16"/>
      <c r="E348" s="16"/>
      <c r="F348" s="19"/>
      <c r="G348" s="20"/>
      <c r="H348" s="24"/>
      <c r="I348" s="25"/>
    </row>
    <row r="349" ht="15.75" customHeight="1">
      <c r="B349" s="13"/>
      <c r="D349" s="16"/>
      <c r="E349" s="16"/>
      <c r="F349" s="19"/>
      <c r="G349" s="20"/>
      <c r="H349" s="24"/>
      <c r="I349" s="25"/>
    </row>
    <row r="350" ht="15.75" customHeight="1">
      <c r="B350" s="13"/>
      <c r="D350" s="16"/>
      <c r="E350" s="16"/>
      <c r="F350" s="19"/>
      <c r="G350" s="20"/>
      <c r="H350" s="24"/>
      <c r="I350" s="25"/>
    </row>
    <row r="351" ht="15.75" customHeight="1">
      <c r="B351" s="13"/>
      <c r="D351" s="16"/>
      <c r="E351" s="16"/>
      <c r="F351" s="19"/>
      <c r="G351" s="20"/>
      <c r="H351" s="24"/>
      <c r="I351" s="25"/>
    </row>
    <row r="352" ht="15.75" customHeight="1">
      <c r="B352" s="13"/>
      <c r="D352" s="16"/>
      <c r="E352" s="16"/>
      <c r="F352" s="19"/>
      <c r="G352" s="20"/>
      <c r="H352" s="24"/>
      <c r="I352" s="25"/>
    </row>
    <row r="353" ht="15.75" customHeight="1">
      <c r="B353" s="13"/>
      <c r="D353" s="16"/>
      <c r="E353" s="16"/>
      <c r="F353" s="19"/>
      <c r="G353" s="20"/>
      <c r="H353" s="24"/>
      <c r="I353" s="25"/>
    </row>
    <row r="354" ht="15.75" customHeight="1">
      <c r="B354" s="13"/>
      <c r="D354" s="16"/>
      <c r="E354" s="16"/>
      <c r="F354" s="19"/>
      <c r="G354" s="20"/>
      <c r="H354" s="24"/>
      <c r="I354" s="25"/>
    </row>
    <row r="355" ht="15.75" customHeight="1">
      <c r="B355" s="13"/>
      <c r="D355" s="16"/>
      <c r="E355" s="16"/>
      <c r="F355" s="19"/>
      <c r="G355" s="20"/>
      <c r="H355" s="24"/>
      <c r="I355" s="25"/>
    </row>
    <row r="356" ht="15.75" customHeight="1">
      <c r="B356" s="13"/>
      <c r="D356" s="16"/>
      <c r="E356" s="16"/>
      <c r="F356" s="19"/>
      <c r="G356" s="20"/>
      <c r="H356" s="24"/>
      <c r="I356" s="25"/>
    </row>
    <row r="357" ht="15.75" customHeight="1">
      <c r="B357" s="13"/>
      <c r="D357" s="16"/>
      <c r="E357" s="16"/>
      <c r="F357" s="19"/>
      <c r="G357" s="20"/>
      <c r="H357" s="24"/>
      <c r="I357" s="25"/>
    </row>
    <row r="358" ht="15.75" customHeight="1">
      <c r="B358" s="13"/>
      <c r="D358" s="16"/>
      <c r="E358" s="16"/>
      <c r="F358" s="19"/>
      <c r="G358" s="20"/>
      <c r="H358" s="24"/>
      <c r="I358" s="25"/>
    </row>
    <row r="359" ht="15.75" customHeight="1">
      <c r="B359" s="13"/>
      <c r="D359" s="16"/>
      <c r="E359" s="16"/>
      <c r="F359" s="19"/>
      <c r="G359" s="20"/>
      <c r="H359" s="24"/>
      <c r="I359" s="25"/>
    </row>
    <row r="360" ht="15.75" customHeight="1">
      <c r="B360" s="13"/>
      <c r="D360" s="16"/>
      <c r="E360" s="16"/>
      <c r="F360" s="19"/>
      <c r="G360" s="20"/>
      <c r="H360" s="24"/>
      <c r="I360" s="25"/>
    </row>
    <row r="361" ht="15.75" customHeight="1">
      <c r="B361" s="13"/>
      <c r="D361" s="16"/>
      <c r="E361" s="16"/>
      <c r="F361" s="19"/>
      <c r="G361" s="20"/>
      <c r="H361" s="24"/>
      <c r="I361" s="25"/>
    </row>
    <row r="362" ht="15.75" customHeight="1">
      <c r="B362" s="13"/>
      <c r="D362" s="16"/>
      <c r="E362" s="16"/>
      <c r="F362" s="19"/>
      <c r="G362" s="20"/>
      <c r="H362" s="24"/>
      <c r="I362" s="25"/>
    </row>
    <row r="363" ht="15.75" customHeight="1">
      <c r="B363" s="13"/>
      <c r="D363" s="16"/>
      <c r="E363" s="16"/>
      <c r="F363" s="19"/>
      <c r="G363" s="20"/>
      <c r="H363" s="24"/>
      <c r="I363" s="25"/>
    </row>
    <row r="364" ht="15.75" customHeight="1">
      <c r="B364" s="13"/>
      <c r="D364" s="16"/>
      <c r="E364" s="16"/>
      <c r="F364" s="19"/>
      <c r="G364" s="20"/>
      <c r="H364" s="24"/>
      <c r="I364" s="25"/>
    </row>
    <row r="365" ht="15.75" customHeight="1">
      <c r="B365" s="13"/>
      <c r="D365" s="16"/>
      <c r="E365" s="16"/>
      <c r="F365" s="19"/>
      <c r="G365" s="20"/>
      <c r="H365" s="24"/>
      <c r="I365" s="25"/>
    </row>
    <row r="366" ht="15.75" customHeight="1">
      <c r="B366" s="13"/>
      <c r="D366" s="16"/>
      <c r="E366" s="16"/>
      <c r="F366" s="19"/>
      <c r="G366" s="20"/>
      <c r="H366" s="24"/>
      <c r="I366" s="25"/>
    </row>
    <row r="367" ht="15.75" customHeight="1">
      <c r="B367" s="13"/>
      <c r="D367" s="16"/>
      <c r="E367" s="16"/>
      <c r="F367" s="19"/>
      <c r="G367" s="20"/>
      <c r="H367" s="24"/>
      <c r="I367" s="25"/>
    </row>
    <row r="368" ht="15.75" customHeight="1">
      <c r="B368" s="13"/>
      <c r="D368" s="16"/>
      <c r="E368" s="16"/>
      <c r="F368" s="19"/>
      <c r="G368" s="20"/>
      <c r="H368" s="24"/>
      <c r="I368" s="25"/>
    </row>
    <row r="369" ht="15.75" customHeight="1">
      <c r="B369" s="13"/>
      <c r="D369" s="16"/>
      <c r="E369" s="16"/>
      <c r="F369" s="19"/>
      <c r="G369" s="20"/>
      <c r="H369" s="24"/>
      <c r="I369" s="25"/>
    </row>
    <row r="370" ht="15.75" customHeight="1">
      <c r="B370" s="13"/>
      <c r="D370" s="16"/>
      <c r="E370" s="16"/>
      <c r="F370" s="19"/>
      <c r="G370" s="20"/>
      <c r="H370" s="24"/>
      <c r="I370" s="25"/>
    </row>
    <row r="371" ht="15.75" customHeight="1">
      <c r="B371" s="13"/>
      <c r="D371" s="16"/>
      <c r="E371" s="16"/>
      <c r="F371" s="19"/>
      <c r="G371" s="20"/>
      <c r="H371" s="24"/>
      <c r="I371" s="25"/>
    </row>
    <row r="372" ht="15.75" customHeight="1">
      <c r="B372" s="13"/>
      <c r="D372" s="16"/>
      <c r="E372" s="16"/>
      <c r="F372" s="19"/>
      <c r="G372" s="20"/>
      <c r="H372" s="24"/>
      <c r="I372" s="25"/>
    </row>
    <row r="373" ht="15.75" customHeight="1">
      <c r="B373" s="13"/>
      <c r="D373" s="16"/>
      <c r="E373" s="16"/>
      <c r="F373" s="19"/>
      <c r="G373" s="20"/>
      <c r="H373" s="24"/>
      <c r="I373" s="25"/>
    </row>
    <row r="374" ht="15.75" customHeight="1">
      <c r="B374" s="13"/>
      <c r="D374" s="16"/>
      <c r="E374" s="16"/>
      <c r="F374" s="19"/>
      <c r="G374" s="20"/>
      <c r="H374" s="24"/>
      <c r="I374" s="25"/>
    </row>
    <row r="375" ht="15.75" customHeight="1">
      <c r="B375" s="13"/>
      <c r="D375" s="16"/>
      <c r="E375" s="16"/>
      <c r="F375" s="19"/>
      <c r="G375" s="20"/>
      <c r="H375" s="24"/>
      <c r="I375" s="25"/>
    </row>
    <row r="376" ht="15.75" customHeight="1">
      <c r="B376" s="13"/>
      <c r="D376" s="16"/>
      <c r="E376" s="16"/>
      <c r="F376" s="19"/>
      <c r="G376" s="20"/>
      <c r="H376" s="24"/>
      <c r="I376" s="25"/>
    </row>
    <row r="377" ht="15.75" customHeight="1">
      <c r="B377" s="13"/>
      <c r="D377" s="16"/>
      <c r="E377" s="16"/>
      <c r="F377" s="19"/>
      <c r="G377" s="20"/>
      <c r="H377" s="24"/>
      <c r="I377" s="25"/>
    </row>
    <row r="378" ht="15.75" customHeight="1">
      <c r="B378" s="13"/>
      <c r="D378" s="16"/>
      <c r="E378" s="16"/>
      <c r="F378" s="19"/>
      <c r="G378" s="20"/>
      <c r="H378" s="24"/>
      <c r="I378" s="25"/>
    </row>
    <row r="379" ht="15.75" customHeight="1">
      <c r="B379" s="13"/>
      <c r="D379" s="16"/>
      <c r="E379" s="16"/>
      <c r="F379" s="19"/>
      <c r="G379" s="20"/>
      <c r="H379" s="24"/>
      <c r="I379" s="25"/>
    </row>
    <row r="380" ht="15.75" customHeight="1">
      <c r="B380" s="13"/>
      <c r="D380" s="16"/>
      <c r="E380" s="16"/>
      <c r="F380" s="19"/>
      <c r="G380" s="20"/>
      <c r="H380" s="24"/>
      <c r="I380" s="25"/>
    </row>
    <row r="381" ht="15.75" customHeight="1">
      <c r="B381" s="13"/>
      <c r="D381" s="16"/>
      <c r="E381" s="16"/>
      <c r="F381" s="19"/>
      <c r="G381" s="20"/>
      <c r="H381" s="24"/>
      <c r="I381" s="25"/>
    </row>
    <row r="382" ht="15.75" customHeight="1">
      <c r="B382" s="13"/>
      <c r="D382" s="16"/>
      <c r="E382" s="16"/>
      <c r="F382" s="19"/>
      <c r="G382" s="20"/>
      <c r="H382" s="24"/>
      <c r="I382" s="25"/>
    </row>
    <row r="383" ht="15.75" customHeight="1">
      <c r="B383" s="13"/>
      <c r="D383" s="16"/>
      <c r="E383" s="16"/>
      <c r="F383" s="19"/>
      <c r="G383" s="20"/>
      <c r="H383" s="24"/>
      <c r="I383" s="25"/>
    </row>
    <row r="384" ht="15.75" customHeight="1">
      <c r="B384" s="13"/>
      <c r="D384" s="16"/>
      <c r="E384" s="16"/>
      <c r="F384" s="19"/>
      <c r="G384" s="20"/>
      <c r="H384" s="24"/>
      <c r="I384" s="25"/>
    </row>
    <row r="385" ht="15.75" customHeight="1">
      <c r="B385" s="13"/>
      <c r="D385" s="16"/>
      <c r="E385" s="16"/>
      <c r="F385" s="19"/>
      <c r="G385" s="20"/>
      <c r="H385" s="24"/>
      <c r="I385" s="25"/>
    </row>
    <row r="386" ht="15.75" customHeight="1">
      <c r="B386" s="13"/>
      <c r="D386" s="16"/>
      <c r="E386" s="16"/>
      <c r="F386" s="19"/>
      <c r="G386" s="20"/>
      <c r="H386" s="24"/>
      <c r="I386" s="25"/>
    </row>
    <row r="387" ht="15.75" customHeight="1">
      <c r="B387" s="13"/>
      <c r="D387" s="16"/>
      <c r="E387" s="16"/>
      <c r="F387" s="19"/>
      <c r="G387" s="20"/>
      <c r="H387" s="24"/>
      <c r="I387" s="25"/>
    </row>
    <row r="388" ht="15.75" customHeight="1">
      <c r="B388" s="13"/>
      <c r="D388" s="16"/>
      <c r="E388" s="16"/>
      <c r="F388" s="19"/>
      <c r="G388" s="20"/>
      <c r="H388" s="24"/>
      <c r="I388" s="25"/>
    </row>
    <row r="389" ht="15.75" customHeight="1">
      <c r="B389" s="13"/>
      <c r="D389" s="16"/>
      <c r="E389" s="16"/>
      <c r="F389" s="19"/>
      <c r="G389" s="20"/>
      <c r="H389" s="24"/>
      <c r="I389" s="25"/>
    </row>
    <row r="390" ht="15.75" customHeight="1">
      <c r="B390" s="13"/>
      <c r="D390" s="16"/>
      <c r="E390" s="16"/>
      <c r="F390" s="19"/>
      <c r="G390" s="20"/>
      <c r="H390" s="24"/>
      <c r="I390" s="25"/>
    </row>
    <row r="391" ht="15.75" customHeight="1">
      <c r="B391" s="13"/>
      <c r="D391" s="16"/>
      <c r="E391" s="16"/>
      <c r="F391" s="19"/>
      <c r="G391" s="20"/>
      <c r="H391" s="24"/>
      <c r="I391" s="25"/>
    </row>
    <row r="392" ht="15.75" customHeight="1">
      <c r="B392" s="13"/>
      <c r="D392" s="16"/>
      <c r="E392" s="16"/>
      <c r="F392" s="19"/>
      <c r="G392" s="20"/>
      <c r="H392" s="24"/>
      <c r="I392" s="25"/>
    </row>
    <row r="393" ht="15.75" customHeight="1">
      <c r="B393" s="13"/>
      <c r="D393" s="16"/>
      <c r="E393" s="16"/>
      <c r="F393" s="19"/>
      <c r="G393" s="20"/>
      <c r="H393" s="24"/>
      <c r="I393" s="25"/>
    </row>
    <row r="394" ht="15.75" customHeight="1">
      <c r="B394" s="13"/>
      <c r="D394" s="16"/>
      <c r="E394" s="16"/>
      <c r="F394" s="19"/>
      <c r="G394" s="20"/>
      <c r="H394" s="24"/>
      <c r="I394" s="25"/>
    </row>
    <row r="395" ht="15.75" customHeight="1">
      <c r="B395" s="13"/>
      <c r="D395" s="16"/>
      <c r="E395" s="16"/>
      <c r="F395" s="19"/>
      <c r="G395" s="20"/>
      <c r="H395" s="24"/>
      <c r="I395" s="25"/>
    </row>
    <row r="396" ht="15.75" customHeight="1">
      <c r="B396" s="13"/>
      <c r="D396" s="16"/>
      <c r="E396" s="16"/>
      <c r="F396" s="19"/>
      <c r="G396" s="20"/>
      <c r="H396" s="24"/>
      <c r="I396" s="25"/>
    </row>
    <row r="397" ht="15.75" customHeight="1">
      <c r="B397" s="13"/>
      <c r="D397" s="16"/>
      <c r="E397" s="16"/>
      <c r="F397" s="19"/>
      <c r="G397" s="20"/>
      <c r="H397" s="24"/>
      <c r="I397" s="25"/>
    </row>
    <row r="398" ht="15.75" customHeight="1">
      <c r="B398" s="13"/>
      <c r="D398" s="16"/>
      <c r="E398" s="16"/>
      <c r="F398" s="19"/>
      <c r="G398" s="20"/>
      <c r="H398" s="24"/>
      <c r="I398" s="25"/>
    </row>
    <row r="399" ht="15.75" customHeight="1">
      <c r="B399" s="13"/>
      <c r="D399" s="16"/>
      <c r="E399" s="16"/>
      <c r="F399" s="19"/>
      <c r="G399" s="20"/>
      <c r="H399" s="24"/>
      <c r="I399" s="25"/>
    </row>
    <row r="400" ht="15.75" customHeight="1">
      <c r="B400" s="13"/>
      <c r="D400" s="16"/>
      <c r="E400" s="16"/>
      <c r="F400" s="19"/>
      <c r="G400" s="20"/>
      <c r="H400" s="24"/>
      <c r="I400" s="25"/>
    </row>
    <row r="401" ht="15.75" customHeight="1">
      <c r="B401" s="13"/>
      <c r="D401" s="16"/>
      <c r="E401" s="16"/>
      <c r="F401" s="19"/>
      <c r="G401" s="20"/>
      <c r="H401" s="24"/>
      <c r="I401" s="25"/>
    </row>
    <row r="402" ht="15.75" customHeight="1">
      <c r="B402" s="13"/>
      <c r="D402" s="16"/>
      <c r="E402" s="16"/>
      <c r="F402" s="19"/>
      <c r="G402" s="20"/>
      <c r="H402" s="24"/>
      <c r="I402" s="25"/>
    </row>
    <row r="403" ht="15.75" customHeight="1">
      <c r="B403" s="13"/>
      <c r="D403" s="16"/>
      <c r="E403" s="16"/>
      <c r="F403" s="19"/>
      <c r="G403" s="20"/>
      <c r="H403" s="24"/>
      <c r="I403" s="25"/>
    </row>
    <row r="404" ht="15.75" customHeight="1">
      <c r="B404" s="13"/>
      <c r="D404" s="16"/>
      <c r="E404" s="16"/>
      <c r="F404" s="19"/>
      <c r="G404" s="20"/>
      <c r="H404" s="24"/>
      <c r="I404" s="25"/>
    </row>
    <row r="405" ht="15.75" customHeight="1">
      <c r="B405" s="13"/>
      <c r="D405" s="16"/>
      <c r="E405" s="16"/>
      <c r="F405" s="19"/>
      <c r="G405" s="20"/>
      <c r="H405" s="24"/>
      <c r="I405" s="25"/>
    </row>
    <row r="406" ht="15.75" customHeight="1">
      <c r="B406" s="13"/>
      <c r="D406" s="16"/>
      <c r="E406" s="16"/>
      <c r="F406" s="19"/>
      <c r="G406" s="20"/>
      <c r="H406" s="24"/>
      <c r="I406" s="25"/>
    </row>
    <row r="407" ht="15.75" customHeight="1">
      <c r="B407" s="13"/>
      <c r="D407" s="16"/>
      <c r="E407" s="16"/>
      <c r="F407" s="19"/>
      <c r="G407" s="20"/>
      <c r="H407" s="24"/>
      <c r="I407" s="25"/>
    </row>
    <row r="408" ht="15.75" customHeight="1">
      <c r="B408" s="13"/>
      <c r="D408" s="16"/>
      <c r="E408" s="16"/>
      <c r="F408" s="19"/>
      <c r="G408" s="20"/>
      <c r="H408" s="24"/>
      <c r="I408" s="25"/>
    </row>
    <row r="409" ht="15.75" customHeight="1">
      <c r="B409" s="13"/>
      <c r="D409" s="16"/>
      <c r="E409" s="16"/>
      <c r="F409" s="19"/>
      <c r="G409" s="20"/>
      <c r="H409" s="24"/>
      <c r="I409" s="25"/>
    </row>
    <row r="410" ht="15.75" customHeight="1">
      <c r="B410" s="13"/>
      <c r="D410" s="16"/>
      <c r="E410" s="16"/>
      <c r="F410" s="19"/>
      <c r="G410" s="20"/>
      <c r="H410" s="24"/>
      <c r="I410" s="25"/>
    </row>
    <row r="411" ht="15.75" customHeight="1">
      <c r="B411" s="13"/>
      <c r="D411" s="16"/>
      <c r="E411" s="16"/>
      <c r="F411" s="19"/>
      <c r="G411" s="20"/>
      <c r="H411" s="24"/>
      <c r="I411" s="25"/>
    </row>
    <row r="412" ht="15.75" customHeight="1">
      <c r="B412" s="13"/>
      <c r="D412" s="16"/>
      <c r="E412" s="16"/>
      <c r="F412" s="19"/>
      <c r="G412" s="20"/>
      <c r="H412" s="24"/>
      <c r="I412" s="25"/>
    </row>
    <row r="413" ht="15.75" customHeight="1">
      <c r="B413" s="13"/>
      <c r="D413" s="16"/>
      <c r="E413" s="16"/>
      <c r="F413" s="19"/>
      <c r="G413" s="20"/>
      <c r="H413" s="24"/>
      <c r="I413" s="25"/>
    </row>
    <row r="414" ht="15.75" customHeight="1">
      <c r="B414" s="13"/>
      <c r="D414" s="16"/>
      <c r="E414" s="16"/>
      <c r="F414" s="19"/>
      <c r="G414" s="20"/>
      <c r="H414" s="24"/>
      <c r="I414" s="25"/>
    </row>
    <row r="415" ht="15.75" customHeight="1">
      <c r="B415" s="13"/>
      <c r="D415" s="16"/>
      <c r="E415" s="16"/>
      <c r="F415" s="19"/>
      <c r="G415" s="20"/>
      <c r="H415" s="24"/>
      <c r="I415" s="25"/>
    </row>
    <row r="416" ht="15.75" customHeight="1">
      <c r="B416" s="13"/>
      <c r="D416" s="16"/>
      <c r="E416" s="16"/>
      <c r="F416" s="19"/>
      <c r="G416" s="20"/>
      <c r="H416" s="24"/>
      <c r="I416" s="25"/>
    </row>
    <row r="417" ht="15.75" customHeight="1">
      <c r="B417" s="13"/>
      <c r="D417" s="16"/>
      <c r="E417" s="16"/>
      <c r="F417" s="19"/>
      <c r="G417" s="20"/>
      <c r="H417" s="24"/>
      <c r="I417" s="25"/>
    </row>
    <row r="418" ht="15.75" customHeight="1">
      <c r="B418" s="13"/>
      <c r="D418" s="16"/>
      <c r="E418" s="16"/>
      <c r="F418" s="19"/>
      <c r="G418" s="20"/>
      <c r="H418" s="24"/>
      <c r="I418" s="25"/>
    </row>
    <row r="419" ht="15.75" customHeight="1">
      <c r="B419" s="13"/>
      <c r="D419" s="16"/>
      <c r="E419" s="16"/>
      <c r="F419" s="19"/>
      <c r="G419" s="20"/>
      <c r="H419" s="24"/>
      <c r="I419" s="25"/>
    </row>
    <row r="420" ht="15.75" customHeight="1">
      <c r="B420" s="13"/>
      <c r="D420" s="16"/>
      <c r="E420" s="16"/>
      <c r="F420" s="19"/>
      <c r="G420" s="20"/>
      <c r="H420" s="24"/>
      <c r="I420" s="25"/>
    </row>
    <row r="421" ht="15.75" customHeight="1">
      <c r="B421" s="13"/>
      <c r="D421" s="16"/>
      <c r="E421" s="16"/>
      <c r="F421" s="19"/>
      <c r="G421" s="20"/>
      <c r="H421" s="24"/>
      <c r="I421" s="25"/>
    </row>
    <row r="422" ht="15.75" customHeight="1">
      <c r="B422" s="13"/>
      <c r="D422" s="16"/>
      <c r="E422" s="16"/>
      <c r="F422" s="19"/>
      <c r="G422" s="20"/>
      <c r="H422" s="24"/>
      <c r="I422" s="25"/>
    </row>
    <row r="423" ht="15.75" customHeight="1">
      <c r="B423" s="13"/>
      <c r="D423" s="16"/>
      <c r="E423" s="16"/>
      <c r="F423" s="19"/>
      <c r="G423" s="20"/>
      <c r="H423" s="24"/>
      <c r="I423" s="25"/>
    </row>
    <row r="424" ht="15.75" customHeight="1">
      <c r="B424" s="13"/>
      <c r="D424" s="16"/>
      <c r="E424" s="16"/>
      <c r="F424" s="19"/>
      <c r="G424" s="20"/>
      <c r="H424" s="24"/>
      <c r="I424" s="25"/>
    </row>
    <row r="425" ht="15.75" customHeight="1">
      <c r="B425" s="13"/>
      <c r="D425" s="16"/>
      <c r="E425" s="16"/>
      <c r="F425" s="19"/>
      <c r="G425" s="20"/>
      <c r="H425" s="24"/>
      <c r="I425" s="25"/>
    </row>
    <row r="426" ht="15.75" customHeight="1">
      <c r="B426" s="13"/>
      <c r="D426" s="16"/>
      <c r="E426" s="16"/>
      <c r="F426" s="19"/>
      <c r="G426" s="20"/>
      <c r="H426" s="24"/>
      <c r="I426" s="25"/>
    </row>
    <row r="427" ht="15.75" customHeight="1">
      <c r="B427" s="13"/>
      <c r="D427" s="16"/>
      <c r="E427" s="16"/>
      <c r="F427" s="19"/>
      <c r="G427" s="20"/>
      <c r="H427" s="24"/>
      <c r="I427" s="25"/>
    </row>
    <row r="428" ht="15.75" customHeight="1">
      <c r="B428" s="13"/>
      <c r="D428" s="16"/>
      <c r="E428" s="16"/>
      <c r="F428" s="19"/>
      <c r="G428" s="20"/>
      <c r="H428" s="24"/>
      <c r="I428" s="25"/>
    </row>
    <row r="429" ht="15.75" customHeight="1">
      <c r="B429" s="13"/>
      <c r="D429" s="16"/>
      <c r="E429" s="16"/>
      <c r="F429" s="19"/>
      <c r="G429" s="20"/>
      <c r="H429" s="24"/>
      <c r="I429" s="25"/>
    </row>
    <row r="430" ht="15.75" customHeight="1">
      <c r="B430" s="13"/>
      <c r="D430" s="16"/>
      <c r="E430" s="16"/>
      <c r="F430" s="19"/>
      <c r="G430" s="20"/>
      <c r="H430" s="24"/>
      <c r="I430" s="25"/>
    </row>
    <row r="431" ht="15.75" customHeight="1">
      <c r="B431" s="13"/>
      <c r="D431" s="16"/>
      <c r="E431" s="16"/>
      <c r="F431" s="19"/>
      <c r="G431" s="20"/>
      <c r="H431" s="24"/>
      <c r="I431" s="25"/>
    </row>
    <row r="432" ht="15.75" customHeight="1">
      <c r="B432" s="13"/>
      <c r="D432" s="16"/>
      <c r="E432" s="16"/>
      <c r="F432" s="19"/>
      <c r="G432" s="20"/>
      <c r="H432" s="24"/>
      <c r="I432" s="25"/>
    </row>
    <row r="433" ht="15.75" customHeight="1">
      <c r="B433" s="13"/>
      <c r="D433" s="16"/>
      <c r="E433" s="16"/>
      <c r="F433" s="19"/>
      <c r="G433" s="20"/>
      <c r="H433" s="24"/>
      <c r="I433" s="25"/>
    </row>
    <row r="434" ht="15.75" customHeight="1">
      <c r="B434" s="13"/>
      <c r="D434" s="16"/>
      <c r="E434" s="16"/>
      <c r="F434" s="19"/>
      <c r="G434" s="20"/>
      <c r="H434" s="24"/>
      <c r="I434" s="25"/>
    </row>
    <row r="435" ht="15.75" customHeight="1">
      <c r="B435" s="13"/>
      <c r="D435" s="16"/>
      <c r="E435" s="16"/>
      <c r="F435" s="19"/>
      <c r="G435" s="20"/>
      <c r="H435" s="24"/>
      <c r="I435" s="25"/>
    </row>
    <row r="436" ht="15.75" customHeight="1">
      <c r="B436" s="13"/>
      <c r="D436" s="16"/>
      <c r="E436" s="16"/>
      <c r="F436" s="19"/>
      <c r="G436" s="20"/>
      <c r="H436" s="24"/>
      <c r="I436" s="25"/>
    </row>
    <row r="437" ht="15.75" customHeight="1">
      <c r="B437" s="13"/>
      <c r="D437" s="16"/>
      <c r="E437" s="16"/>
      <c r="F437" s="19"/>
      <c r="G437" s="20"/>
      <c r="H437" s="24"/>
      <c r="I437" s="25"/>
    </row>
    <row r="438" ht="15.75" customHeight="1">
      <c r="B438" s="13"/>
      <c r="D438" s="16"/>
      <c r="E438" s="16"/>
      <c r="F438" s="19"/>
      <c r="G438" s="20"/>
      <c r="H438" s="24"/>
      <c r="I438" s="25"/>
    </row>
    <row r="439" ht="15.75" customHeight="1">
      <c r="B439" s="13"/>
      <c r="D439" s="16"/>
      <c r="E439" s="16"/>
      <c r="F439" s="19"/>
      <c r="G439" s="20"/>
      <c r="H439" s="24"/>
      <c r="I439" s="25"/>
    </row>
    <row r="440" ht="15.75" customHeight="1">
      <c r="B440" s="13"/>
      <c r="D440" s="16"/>
      <c r="E440" s="16"/>
      <c r="F440" s="19"/>
      <c r="G440" s="20"/>
      <c r="H440" s="24"/>
      <c r="I440" s="25"/>
    </row>
    <row r="441" ht="15.75" customHeight="1">
      <c r="B441" s="13"/>
      <c r="D441" s="16"/>
      <c r="E441" s="16"/>
      <c r="F441" s="19"/>
      <c r="G441" s="20"/>
      <c r="H441" s="24"/>
      <c r="I441" s="25"/>
    </row>
    <row r="442" ht="15.75" customHeight="1">
      <c r="B442" s="13"/>
      <c r="D442" s="16"/>
      <c r="E442" s="16"/>
      <c r="F442" s="19"/>
      <c r="G442" s="20"/>
      <c r="H442" s="24"/>
      <c r="I442" s="25"/>
    </row>
    <row r="443" ht="15.75" customHeight="1">
      <c r="B443" s="13"/>
      <c r="D443" s="16"/>
      <c r="E443" s="16"/>
      <c r="F443" s="19"/>
      <c r="G443" s="20"/>
      <c r="H443" s="24"/>
      <c r="I443" s="25"/>
    </row>
    <row r="444" ht="15.75" customHeight="1">
      <c r="B444" s="13"/>
      <c r="D444" s="16"/>
      <c r="E444" s="16"/>
      <c r="F444" s="19"/>
      <c r="G444" s="20"/>
      <c r="H444" s="24"/>
      <c r="I444" s="25"/>
    </row>
    <row r="445" ht="15.75" customHeight="1">
      <c r="B445" s="13"/>
      <c r="D445" s="16"/>
      <c r="E445" s="16"/>
      <c r="F445" s="19"/>
      <c r="G445" s="20"/>
      <c r="H445" s="24"/>
      <c r="I445" s="25"/>
    </row>
    <row r="446" ht="15.75" customHeight="1">
      <c r="B446" s="13"/>
      <c r="D446" s="16"/>
      <c r="E446" s="16"/>
      <c r="F446" s="19"/>
      <c r="G446" s="20"/>
      <c r="H446" s="24"/>
      <c r="I446" s="25"/>
    </row>
    <row r="447" ht="15.75" customHeight="1">
      <c r="B447" s="13"/>
      <c r="D447" s="16"/>
      <c r="E447" s="16"/>
      <c r="F447" s="19"/>
      <c r="G447" s="20"/>
      <c r="H447" s="24"/>
      <c r="I447" s="25"/>
    </row>
    <row r="448" ht="15.75" customHeight="1">
      <c r="B448" s="13"/>
      <c r="D448" s="16"/>
      <c r="E448" s="16"/>
      <c r="F448" s="19"/>
      <c r="G448" s="20"/>
      <c r="H448" s="24"/>
      <c r="I448" s="25"/>
    </row>
    <row r="449" ht="15.75" customHeight="1">
      <c r="B449" s="13"/>
      <c r="D449" s="16"/>
      <c r="E449" s="16"/>
      <c r="F449" s="19"/>
      <c r="G449" s="20"/>
      <c r="H449" s="24"/>
      <c r="I449" s="25"/>
    </row>
    <row r="450" ht="15.75" customHeight="1">
      <c r="B450" s="13"/>
      <c r="D450" s="16"/>
      <c r="E450" s="16"/>
      <c r="F450" s="19"/>
      <c r="G450" s="20"/>
      <c r="H450" s="24"/>
      <c r="I450" s="25"/>
    </row>
    <row r="451" ht="15.75" customHeight="1">
      <c r="B451" s="13"/>
      <c r="D451" s="16"/>
      <c r="E451" s="16"/>
      <c r="F451" s="19"/>
      <c r="G451" s="20"/>
      <c r="H451" s="24"/>
      <c r="I451" s="25"/>
    </row>
    <row r="452" ht="15.75" customHeight="1">
      <c r="B452" s="13"/>
      <c r="D452" s="16"/>
      <c r="E452" s="16"/>
      <c r="F452" s="19"/>
      <c r="G452" s="20"/>
      <c r="H452" s="24"/>
      <c r="I452" s="25"/>
    </row>
    <row r="453" ht="15.75" customHeight="1">
      <c r="B453" s="13"/>
      <c r="D453" s="16"/>
      <c r="E453" s="16"/>
      <c r="F453" s="19"/>
      <c r="G453" s="20"/>
      <c r="H453" s="24"/>
      <c r="I453" s="25"/>
    </row>
    <row r="454" ht="15.75" customHeight="1">
      <c r="B454" s="13"/>
      <c r="D454" s="16"/>
      <c r="E454" s="16"/>
      <c r="F454" s="19"/>
      <c r="G454" s="20"/>
      <c r="H454" s="24"/>
      <c r="I454" s="25"/>
    </row>
    <row r="455" ht="15.75" customHeight="1">
      <c r="B455" s="13"/>
      <c r="D455" s="16"/>
      <c r="E455" s="16"/>
      <c r="F455" s="19"/>
      <c r="G455" s="20"/>
      <c r="H455" s="24"/>
      <c r="I455" s="25"/>
    </row>
    <row r="456" ht="15.75" customHeight="1">
      <c r="B456" s="13"/>
      <c r="D456" s="16"/>
      <c r="E456" s="16"/>
      <c r="F456" s="19"/>
      <c r="G456" s="20"/>
      <c r="H456" s="24"/>
      <c r="I456" s="25"/>
    </row>
    <row r="457" ht="15.75" customHeight="1">
      <c r="B457" s="13"/>
      <c r="D457" s="16"/>
      <c r="E457" s="16"/>
      <c r="F457" s="19"/>
      <c r="G457" s="20"/>
      <c r="H457" s="24"/>
      <c r="I457" s="25"/>
    </row>
    <row r="458" ht="15.75" customHeight="1">
      <c r="B458" s="13"/>
      <c r="D458" s="16"/>
      <c r="E458" s="16"/>
      <c r="F458" s="19"/>
      <c r="G458" s="20"/>
      <c r="H458" s="24"/>
      <c r="I458" s="25"/>
    </row>
    <row r="459" ht="15.75" customHeight="1">
      <c r="B459" s="13"/>
      <c r="D459" s="16"/>
      <c r="E459" s="16"/>
      <c r="F459" s="19"/>
      <c r="G459" s="20"/>
      <c r="H459" s="24"/>
      <c r="I459" s="25"/>
    </row>
    <row r="460" ht="15.75" customHeight="1">
      <c r="B460" s="13"/>
      <c r="D460" s="16"/>
      <c r="E460" s="16"/>
      <c r="F460" s="19"/>
      <c r="G460" s="20"/>
      <c r="H460" s="24"/>
      <c r="I460" s="25"/>
    </row>
    <row r="461" ht="15.75" customHeight="1">
      <c r="B461" s="13"/>
      <c r="D461" s="16"/>
      <c r="E461" s="16"/>
      <c r="F461" s="19"/>
      <c r="G461" s="20"/>
      <c r="H461" s="24"/>
      <c r="I461" s="25"/>
    </row>
    <row r="462" ht="15.75" customHeight="1">
      <c r="B462" s="13"/>
      <c r="D462" s="16"/>
      <c r="E462" s="16"/>
      <c r="F462" s="19"/>
      <c r="G462" s="20"/>
      <c r="H462" s="24"/>
      <c r="I462" s="25"/>
    </row>
    <row r="463" ht="15.75" customHeight="1">
      <c r="B463" s="13"/>
      <c r="D463" s="16"/>
      <c r="E463" s="16"/>
      <c r="F463" s="19"/>
      <c r="G463" s="20"/>
      <c r="H463" s="24"/>
      <c r="I463" s="25"/>
    </row>
    <row r="464" ht="15.75" customHeight="1">
      <c r="B464" s="13"/>
      <c r="D464" s="16"/>
      <c r="E464" s="16"/>
      <c r="F464" s="19"/>
      <c r="G464" s="20"/>
      <c r="H464" s="24"/>
      <c r="I464" s="25"/>
    </row>
    <row r="465" ht="15.75" customHeight="1">
      <c r="B465" s="13"/>
      <c r="D465" s="16"/>
      <c r="E465" s="16"/>
      <c r="F465" s="19"/>
      <c r="G465" s="20"/>
      <c r="H465" s="24"/>
      <c r="I465" s="25"/>
    </row>
    <row r="466" ht="15.75" customHeight="1">
      <c r="B466" s="13"/>
      <c r="D466" s="16"/>
      <c r="E466" s="16"/>
      <c r="F466" s="19"/>
      <c r="G466" s="20"/>
      <c r="H466" s="24"/>
      <c r="I466" s="25"/>
    </row>
    <row r="467" ht="15.75" customHeight="1">
      <c r="B467" s="13"/>
      <c r="D467" s="16"/>
      <c r="E467" s="16"/>
      <c r="F467" s="19"/>
      <c r="G467" s="20"/>
      <c r="H467" s="24"/>
      <c r="I467" s="25"/>
    </row>
    <row r="468" ht="15.75" customHeight="1">
      <c r="B468" s="13"/>
      <c r="D468" s="16"/>
      <c r="E468" s="16"/>
      <c r="F468" s="19"/>
      <c r="G468" s="20"/>
      <c r="H468" s="24"/>
      <c r="I468" s="25"/>
    </row>
    <row r="469" ht="15.75" customHeight="1">
      <c r="B469" s="13"/>
      <c r="D469" s="16"/>
      <c r="E469" s="16"/>
      <c r="F469" s="19"/>
      <c r="G469" s="20"/>
      <c r="H469" s="24"/>
      <c r="I469" s="25"/>
    </row>
    <row r="470" ht="15.75" customHeight="1">
      <c r="B470" s="13"/>
      <c r="D470" s="16"/>
      <c r="E470" s="16"/>
      <c r="F470" s="19"/>
      <c r="G470" s="20"/>
      <c r="H470" s="24"/>
      <c r="I470" s="25"/>
    </row>
    <row r="471" ht="15.75" customHeight="1">
      <c r="B471" s="13"/>
      <c r="D471" s="16"/>
      <c r="E471" s="16"/>
      <c r="F471" s="19"/>
      <c r="G471" s="20"/>
      <c r="H471" s="24"/>
      <c r="I471" s="25"/>
    </row>
    <row r="472" ht="15.75" customHeight="1">
      <c r="B472" s="13"/>
      <c r="D472" s="16"/>
      <c r="E472" s="16"/>
      <c r="F472" s="19"/>
      <c r="G472" s="20"/>
      <c r="H472" s="24"/>
      <c r="I472" s="25"/>
    </row>
    <row r="473" ht="15.75" customHeight="1">
      <c r="B473" s="13"/>
      <c r="D473" s="16"/>
      <c r="E473" s="16"/>
      <c r="F473" s="19"/>
      <c r="G473" s="20"/>
      <c r="H473" s="24"/>
      <c r="I473" s="25"/>
    </row>
    <row r="474" ht="15.75" customHeight="1">
      <c r="B474" s="13"/>
      <c r="D474" s="16"/>
      <c r="E474" s="16"/>
      <c r="F474" s="19"/>
      <c r="G474" s="20"/>
      <c r="H474" s="24"/>
      <c r="I474" s="25"/>
    </row>
    <row r="475" ht="15.75" customHeight="1">
      <c r="B475" s="13"/>
      <c r="D475" s="16"/>
      <c r="E475" s="16"/>
      <c r="F475" s="19"/>
      <c r="G475" s="20"/>
      <c r="H475" s="24"/>
      <c r="I475" s="25"/>
    </row>
    <row r="476" ht="15.75" customHeight="1">
      <c r="B476" s="13"/>
      <c r="D476" s="16"/>
      <c r="E476" s="16"/>
      <c r="F476" s="19"/>
      <c r="G476" s="20"/>
      <c r="H476" s="24"/>
      <c r="I476" s="25"/>
    </row>
    <row r="477" ht="15.75" customHeight="1">
      <c r="B477" s="13"/>
      <c r="D477" s="16"/>
      <c r="E477" s="16"/>
      <c r="F477" s="19"/>
      <c r="G477" s="20"/>
      <c r="H477" s="24"/>
      <c r="I477" s="25"/>
    </row>
    <row r="478" ht="15.75" customHeight="1">
      <c r="B478" s="13"/>
      <c r="D478" s="16"/>
      <c r="E478" s="16"/>
      <c r="F478" s="19"/>
      <c r="G478" s="20"/>
      <c r="H478" s="24"/>
      <c r="I478" s="25"/>
    </row>
    <row r="479" ht="15.75" customHeight="1">
      <c r="B479" s="13"/>
      <c r="D479" s="16"/>
      <c r="E479" s="16"/>
      <c r="F479" s="19"/>
      <c r="G479" s="20"/>
      <c r="H479" s="24"/>
      <c r="I479" s="25"/>
    </row>
    <row r="480" ht="15.75" customHeight="1">
      <c r="B480" s="13"/>
      <c r="D480" s="16"/>
      <c r="E480" s="16"/>
      <c r="F480" s="19"/>
      <c r="G480" s="20"/>
      <c r="H480" s="24"/>
      <c r="I480" s="25"/>
    </row>
    <row r="481" ht="15.75" customHeight="1">
      <c r="B481" s="13"/>
      <c r="D481" s="16"/>
      <c r="E481" s="16"/>
      <c r="F481" s="19"/>
      <c r="G481" s="20"/>
      <c r="H481" s="24"/>
      <c r="I481" s="25"/>
    </row>
    <row r="482" ht="15.75" customHeight="1">
      <c r="B482" s="13"/>
      <c r="D482" s="16"/>
      <c r="E482" s="16"/>
      <c r="F482" s="19"/>
      <c r="G482" s="20"/>
      <c r="H482" s="24"/>
      <c r="I482" s="25"/>
    </row>
    <row r="483" ht="15.75" customHeight="1">
      <c r="B483" s="13"/>
      <c r="D483" s="16"/>
      <c r="E483" s="16"/>
      <c r="F483" s="19"/>
      <c r="G483" s="20"/>
      <c r="H483" s="24"/>
      <c r="I483" s="25"/>
    </row>
    <row r="484" ht="15.75" customHeight="1">
      <c r="B484" s="13"/>
      <c r="D484" s="16"/>
      <c r="E484" s="16"/>
      <c r="F484" s="19"/>
      <c r="G484" s="20"/>
      <c r="H484" s="24"/>
      <c r="I484" s="25"/>
    </row>
    <row r="485" ht="15.75" customHeight="1">
      <c r="B485" s="13"/>
      <c r="D485" s="16"/>
      <c r="E485" s="16"/>
      <c r="F485" s="19"/>
      <c r="G485" s="20"/>
      <c r="H485" s="24"/>
      <c r="I485" s="25"/>
    </row>
    <row r="486" ht="15.75" customHeight="1">
      <c r="B486" s="13"/>
      <c r="D486" s="16"/>
      <c r="E486" s="16"/>
      <c r="F486" s="19"/>
      <c r="G486" s="20"/>
      <c r="H486" s="24"/>
      <c r="I486" s="25"/>
    </row>
    <row r="487" ht="15.75" customHeight="1">
      <c r="B487" s="13"/>
      <c r="D487" s="16"/>
      <c r="E487" s="16"/>
      <c r="F487" s="19"/>
      <c r="G487" s="20"/>
      <c r="H487" s="24"/>
      <c r="I487" s="25"/>
    </row>
    <row r="488" ht="15.75" customHeight="1">
      <c r="B488" s="13"/>
      <c r="D488" s="16"/>
      <c r="E488" s="16"/>
      <c r="F488" s="19"/>
      <c r="G488" s="20"/>
      <c r="H488" s="24"/>
      <c r="I488" s="25"/>
    </row>
    <row r="489" ht="15.75" customHeight="1">
      <c r="B489" s="13"/>
      <c r="D489" s="16"/>
      <c r="E489" s="16"/>
      <c r="F489" s="19"/>
      <c r="G489" s="20"/>
      <c r="H489" s="24"/>
      <c r="I489" s="25"/>
    </row>
    <row r="490" ht="15.75" customHeight="1">
      <c r="B490" s="13"/>
      <c r="D490" s="16"/>
      <c r="E490" s="16"/>
      <c r="F490" s="19"/>
      <c r="G490" s="20"/>
      <c r="H490" s="24"/>
      <c r="I490" s="25"/>
    </row>
    <row r="491" ht="15.75" customHeight="1">
      <c r="B491" s="13"/>
      <c r="D491" s="16"/>
      <c r="E491" s="16"/>
      <c r="F491" s="19"/>
      <c r="G491" s="20"/>
      <c r="H491" s="24"/>
      <c r="I491" s="25"/>
    </row>
    <row r="492" ht="15.75" customHeight="1">
      <c r="B492" s="13"/>
      <c r="D492" s="16"/>
      <c r="E492" s="16"/>
      <c r="F492" s="19"/>
      <c r="G492" s="20"/>
      <c r="H492" s="24"/>
      <c r="I492" s="25"/>
    </row>
    <row r="493" ht="15.75" customHeight="1">
      <c r="B493" s="13"/>
      <c r="D493" s="16"/>
      <c r="E493" s="16"/>
      <c r="F493" s="19"/>
      <c r="G493" s="20"/>
      <c r="H493" s="24"/>
      <c r="I493" s="25"/>
    </row>
    <row r="494" ht="15.75" customHeight="1">
      <c r="B494" s="13"/>
      <c r="D494" s="16"/>
      <c r="E494" s="16"/>
      <c r="F494" s="19"/>
      <c r="G494" s="20"/>
      <c r="H494" s="24"/>
      <c r="I494" s="25"/>
    </row>
    <row r="495" ht="15.75" customHeight="1">
      <c r="B495" s="13"/>
      <c r="D495" s="16"/>
      <c r="E495" s="16"/>
      <c r="F495" s="19"/>
      <c r="G495" s="20"/>
      <c r="H495" s="24"/>
      <c r="I495" s="25"/>
    </row>
    <row r="496" ht="15.75" customHeight="1">
      <c r="B496" s="13"/>
      <c r="D496" s="16"/>
      <c r="E496" s="16"/>
      <c r="F496" s="19"/>
      <c r="G496" s="20"/>
      <c r="H496" s="24"/>
      <c r="I496" s="25"/>
    </row>
    <row r="497" ht="15.75" customHeight="1">
      <c r="B497" s="13"/>
      <c r="D497" s="16"/>
      <c r="E497" s="16"/>
      <c r="F497" s="19"/>
      <c r="G497" s="20"/>
      <c r="H497" s="24"/>
      <c r="I497" s="25"/>
    </row>
    <row r="498" ht="15.75" customHeight="1">
      <c r="B498" s="13"/>
      <c r="D498" s="16"/>
      <c r="E498" s="16"/>
      <c r="F498" s="19"/>
      <c r="G498" s="20"/>
      <c r="H498" s="24"/>
      <c r="I498" s="25"/>
    </row>
    <row r="499" ht="15.75" customHeight="1">
      <c r="B499" s="13"/>
      <c r="D499" s="16"/>
      <c r="E499" s="16"/>
      <c r="F499" s="19"/>
      <c r="G499" s="20"/>
      <c r="H499" s="24"/>
      <c r="I499" s="25"/>
    </row>
    <row r="500" ht="15.75" customHeight="1">
      <c r="B500" s="13"/>
      <c r="D500" s="16"/>
      <c r="E500" s="16"/>
      <c r="F500" s="19"/>
      <c r="G500" s="20"/>
      <c r="H500" s="24"/>
      <c r="I500" s="25"/>
    </row>
    <row r="501" ht="15.75" customHeight="1">
      <c r="B501" s="13"/>
      <c r="D501" s="16"/>
      <c r="E501" s="16"/>
      <c r="F501" s="19"/>
      <c r="G501" s="20"/>
      <c r="H501" s="24"/>
      <c r="I501" s="25"/>
    </row>
    <row r="502" ht="15.75" customHeight="1">
      <c r="B502" s="13"/>
      <c r="D502" s="16"/>
      <c r="E502" s="16"/>
      <c r="F502" s="19"/>
      <c r="G502" s="20"/>
      <c r="H502" s="24"/>
      <c r="I502" s="25"/>
    </row>
    <row r="503" ht="15.75" customHeight="1">
      <c r="B503" s="13"/>
      <c r="D503" s="16"/>
      <c r="E503" s="16"/>
      <c r="F503" s="19"/>
      <c r="G503" s="20"/>
      <c r="H503" s="24"/>
      <c r="I503" s="25"/>
    </row>
    <row r="504" ht="15.75" customHeight="1">
      <c r="B504" s="13"/>
      <c r="D504" s="16"/>
      <c r="E504" s="16"/>
      <c r="F504" s="19"/>
      <c r="G504" s="20"/>
      <c r="H504" s="24"/>
      <c r="I504" s="25"/>
    </row>
    <row r="505" ht="15.75" customHeight="1">
      <c r="B505" s="13"/>
      <c r="D505" s="16"/>
      <c r="E505" s="16"/>
      <c r="F505" s="19"/>
      <c r="G505" s="20"/>
      <c r="H505" s="24"/>
      <c r="I505" s="25"/>
    </row>
    <row r="506" ht="15.75" customHeight="1">
      <c r="B506" s="13"/>
      <c r="D506" s="16"/>
      <c r="E506" s="16"/>
      <c r="F506" s="19"/>
      <c r="G506" s="20"/>
      <c r="H506" s="24"/>
      <c r="I506" s="25"/>
    </row>
    <row r="507" ht="15.75" customHeight="1">
      <c r="B507" s="13"/>
      <c r="D507" s="16"/>
      <c r="E507" s="16"/>
      <c r="F507" s="19"/>
      <c r="G507" s="20"/>
      <c r="H507" s="24"/>
      <c r="I507" s="25"/>
    </row>
    <row r="508" ht="15.75" customHeight="1">
      <c r="B508" s="13"/>
      <c r="D508" s="16"/>
      <c r="E508" s="16"/>
      <c r="F508" s="19"/>
      <c r="G508" s="20"/>
      <c r="H508" s="24"/>
      <c r="I508" s="25"/>
    </row>
    <row r="509" ht="15.75" customHeight="1">
      <c r="B509" s="13"/>
      <c r="D509" s="16"/>
      <c r="E509" s="16"/>
      <c r="F509" s="19"/>
      <c r="G509" s="20"/>
      <c r="H509" s="24"/>
      <c r="I509" s="25"/>
    </row>
    <row r="510" ht="15.75" customHeight="1">
      <c r="B510" s="13"/>
      <c r="D510" s="16"/>
      <c r="E510" s="16"/>
      <c r="F510" s="19"/>
      <c r="G510" s="20"/>
      <c r="H510" s="24"/>
      <c r="I510" s="25"/>
    </row>
    <row r="511" ht="15.75" customHeight="1">
      <c r="B511" s="13"/>
      <c r="D511" s="16"/>
      <c r="E511" s="16"/>
      <c r="F511" s="19"/>
      <c r="G511" s="20"/>
      <c r="H511" s="24"/>
      <c r="I511" s="25"/>
    </row>
    <row r="512" ht="15.75" customHeight="1">
      <c r="B512" s="13"/>
      <c r="D512" s="16"/>
      <c r="E512" s="16"/>
      <c r="F512" s="19"/>
      <c r="G512" s="20"/>
      <c r="H512" s="24"/>
      <c r="I512" s="25"/>
    </row>
    <row r="513" ht="15.75" customHeight="1">
      <c r="B513" s="13"/>
      <c r="D513" s="16"/>
      <c r="E513" s="16"/>
      <c r="F513" s="19"/>
      <c r="G513" s="20"/>
      <c r="H513" s="24"/>
      <c r="I513" s="25"/>
    </row>
    <row r="514" ht="15.75" customHeight="1">
      <c r="B514" s="13"/>
      <c r="D514" s="16"/>
      <c r="E514" s="16"/>
      <c r="F514" s="19"/>
      <c r="G514" s="20"/>
      <c r="H514" s="24"/>
      <c r="I514" s="25"/>
    </row>
    <row r="515" ht="15.75" customHeight="1">
      <c r="B515" s="13"/>
      <c r="D515" s="16"/>
      <c r="E515" s="16"/>
      <c r="F515" s="19"/>
      <c r="G515" s="20"/>
      <c r="H515" s="24"/>
      <c r="I515" s="25"/>
    </row>
    <row r="516" ht="15.75" customHeight="1">
      <c r="B516" s="13"/>
      <c r="D516" s="16"/>
      <c r="E516" s="16"/>
      <c r="F516" s="19"/>
      <c r="G516" s="20"/>
      <c r="H516" s="24"/>
      <c r="I516" s="25"/>
    </row>
    <row r="517" ht="15.75" customHeight="1">
      <c r="B517" s="13"/>
      <c r="D517" s="16"/>
      <c r="E517" s="16"/>
      <c r="F517" s="19"/>
      <c r="G517" s="20"/>
      <c r="H517" s="24"/>
      <c r="I517" s="25"/>
    </row>
    <row r="518" ht="15.75" customHeight="1">
      <c r="B518" s="13"/>
      <c r="D518" s="16"/>
      <c r="E518" s="16"/>
      <c r="F518" s="19"/>
      <c r="G518" s="20"/>
      <c r="H518" s="24"/>
      <c r="I518" s="25"/>
    </row>
    <row r="519" ht="15.75" customHeight="1">
      <c r="B519" s="13"/>
      <c r="D519" s="16"/>
      <c r="E519" s="16"/>
      <c r="F519" s="19"/>
      <c r="G519" s="20"/>
      <c r="H519" s="24"/>
      <c r="I519" s="25"/>
    </row>
    <row r="520" ht="15.75" customHeight="1">
      <c r="B520" s="13"/>
      <c r="D520" s="16"/>
      <c r="E520" s="16"/>
      <c r="F520" s="19"/>
      <c r="G520" s="20"/>
      <c r="H520" s="24"/>
      <c r="I520" s="25"/>
    </row>
    <row r="521" ht="15.75" customHeight="1">
      <c r="B521" s="13"/>
      <c r="D521" s="16"/>
      <c r="E521" s="16"/>
      <c r="F521" s="19"/>
      <c r="G521" s="20"/>
      <c r="H521" s="24"/>
      <c r="I521" s="25"/>
    </row>
    <row r="522" ht="15.75" customHeight="1">
      <c r="B522" s="13"/>
      <c r="D522" s="16"/>
      <c r="E522" s="16"/>
      <c r="F522" s="19"/>
      <c r="G522" s="20"/>
      <c r="H522" s="24"/>
      <c r="I522" s="25"/>
    </row>
    <row r="523" ht="15.75" customHeight="1">
      <c r="B523" s="13"/>
      <c r="D523" s="16"/>
      <c r="E523" s="16"/>
      <c r="F523" s="19"/>
      <c r="G523" s="20"/>
      <c r="H523" s="24"/>
      <c r="I523" s="25"/>
    </row>
    <row r="524" ht="15.75" customHeight="1">
      <c r="B524" s="13"/>
      <c r="D524" s="16"/>
      <c r="E524" s="16"/>
      <c r="F524" s="19"/>
      <c r="G524" s="20"/>
      <c r="H524" s="24"/>
      <c r="I524" s="25"/>
    </row>
    <row r="525" ht="15.75" customHeight="1">
      <c r="B525" s="13"/>
      <c r="D525" s="16"/>
      <c r="E525" s="16"/>
      <c r="F525" s="19"/>
      <c r="G525" s="20"/>
      <c r="H525" s="24"/>
      <c r="I525" s="25"/>
    </row>
    <row r="526" ht="15.75" customHeight="1">
      <c r="B526" s="13"/>
      <c r="D526" s="16"/>
      <c r="E526" s="16"/>
      <c r="F526" s="19"/>
      <c r="G526" s="20"/>
      <c r="H526" s="24"/>
      <c r="I526" s="25"/>
    </row>
    <row r="527" ht="15.75" customHeight="1">
      <c r="B527" s="13"/>
      <c r="D527" s="16"/>
      <c r="E527" s="16"/>
      <c r="F527" s="19"/>
      <c r="G527" s="20"/>
      <c r="H527" s="24"/>
      <c r="I527" s="25"/>
    </row>
    <row r="528" ht="15.75" customHeight="1">
      <c r="B528" s="13"/>
      <c r="D528" s="16"/>
      <c r="E528" s="16"/>
      <c r="F528" s="19"/>
      <c r="G528" s="20"/>
      <c r="H528" s="24"/>
      <c r="I528" s="25"/>
    </row>
    <row r="529" ht="15.75" customHeight="1">
      <c r="B529" s="13"/>
      <c r="D529" s="16"/>
      <c r="E529" s="16"/>
      <c r="F529" s="19"/>
      <c r="G529" s="20"/>
      <c r="H529" s="24"/>
      <c r="I529" s="25"/>
    </row>
    <row r="530" ht="15.75" customHeight="1">
      <c r="B530" s="13"/>
      <c r="D530" s="16"/>
      <c r="E530" s="16"/>
      <c r="F530" s="19"/>
      <c r="G530" s="20"/>
      <c r="H530" s="24"/>
      <c r="I530" s="25"/>
    </row>
    <row r="531" ht="15.75" customHeight="1">
      <c r="B531" s="13"/>
      <c r="D531" s="16"/>
      <c r="E531" s="16"/>
      <c r="F531" s="19"/>
      <c r="G531" s="20"/>
      <c r="H531" s="24"/>
      <c r="I531" s="25"/>
    </row>
    <row r="532" ht="15.75" customHeight="1">
      <c r="B532" s="13"/>
      <c r="D532" s="16"/>
      <c r="E532" s="16"/>
      <c r="F532" s="19"/>
      <c r="G532" s="20"/>
      <c r="H532" s="24"/>
      <c r="I532" s="25"/>
    </row>
    <row r="533" ht="15.75" customHeight="1">
      <c r="B533" s="13"/>
      <c r="D533" s="16"/>
      <c r="E533" s="16"/>
      <c r="F533" s="19"/>
      <c r="G533" s="20"/>
      <c r="H533" s="24"/>
      <c r="I533" s="25"/>
    </row>
    <row r="534" ht="15.75" customHeight="1">
      <c r="B534" s="13"/>
      <c r="D534" s="16"/>
      <c r="E534" s="16"/>
      <c r="F534" s="19"/>
      <c r="G534" s="20"/>
      <c r="H534" s="24"/>
      <c r="I534" s="25"/>
    </row>
    <row r="535" ht="15.75" customHeight="1">
      <c r="B535" s="13"/>
      <c r="D535" s="16"/>
      <c r="E535" s="16"/>
      <c r="F535" s="19"/>
      <c r="G535" s="20"/>
      <c r="H535" s="24"/>
      <c r="I535" s="25"/>
    </row>
    <row r="536" ht="15.75" customHeight="1">
      <c r="B536" s="13"/>
      <c r="D536" s="16"/>
      <c r="E536" s="16"/>
      <c r="F536" s="19"/>
      <c r="G536" s="20"/>
      <c r="H536" s="24"/>
      <c r="I536" s="25"/>
    </row>
    <row r="537" ht="15.75" customHeight="1">
      <c r="B537" s="13"/>
      <c r="D537" s="16"/>
      <c r="E537" s="16"/>
      <c r="F537" s="19"/>
      <c r="G537" s="20"/>
      <c r="H537" s="24"/>
      <c r="I537" s="25"/>
    </row>
    <row r="538" ht="15.75" customHeight="1">
      <c r="B538" s="13"/>
      <c r="D538" s="16"/>
      <c r="E538" s="16"/>
      <c r="F538" s="19"/>
      <c r="G538" s="20"/>
      <c r="H538" s="24"/>
      <c r="I538" s="25"/>
    </row>
    <row r="539" ht="15.75" customHeight="1">
      <c r="B539" s="13"/>
      <c r="D539" s="16"/>
      <c r="E539" s="16"/>
      <c r="F539" s="19"/>
      <c r="G539" s="20"/>
      <c r="H539" s="24"/>
      <c r="I539" s="25"/>
    </row>
    <row r="540" ht="15.75" customHeight="1">
      <c r="B540" s="13"/>
      <c r="D540" s="16"/>
      <c r="E540" s="16"/>
      <c r="F540" s="19"/>
      <c r="G540" s="20"/>
      <c r="H540" s="24"/>
      <c r="I540" s="25"/>
    </row>
    <row r="541" ht="15.75" customHeight="1">
      <c r="B541" s="13"/>
      <c r="D541" s="16"/>
      <c r="E541" s="16"/>
      <c r="F541" s="19"/>
      <c r="G541" s="20"/>
      <c r="H541" s="24"/>
      <c r="I541" s="25"/>
    </row>
    <row r="542" ht="15.75" customHeight="1">
      <c r="B542" s="13"/>
      <c r="D542" s="16"/>
      <c r="E542" s="16"/>
      <c r="F542" s="19"/>
      <c r="G542" s="20"/>
      <c r="H542" s="24"/>
      <c r="I542" s="25"/>
    </row>
    <row r="543" ht="15.75" customHeight="1">
      <c r="B543" s="13"/>
      <c r="D543" s="16"/>
      <c r="E543" s="16"/>
      <c r="F543" s="19"/>
      <c r="G543" s="20"/>
      <c r="H543" s="24"/>
      <c r="I543" s="25"/>
    </row>
    <row r="544" ht="15.75" customHeight="1">
      <c r="B544" s="13"/>
      <c r="D544" s="16"/>
      <c r="E544" s="16"/>
      <c r="F544" s="19"/>
      <c r="G544" s="20"/>
      <c r="H544" s="24"/>
      <c r="I544" s="25"/>
    </row>
    <row r="545" ht="15.75" customHeight="1">
      <c r="B545" s="13"/>
      <c r="D545" s="16"/>
      <c r="E545" s="16"/>
      <c r="F545" s="19"/>
      <c r="G545" s="20"/>
      <c r="H545" s="24"/>
      <c r="I545" s="25"/>
    </row>
    <row r="546" ht="15.75" customHeight="1">
      <c r="B546" s="13"/>
      <c r="D546" s="16"/>
      <c r="E546" s="16"/>
      <c r="F546" s="19"/>
      <c r="G546" s="20"/>
      <c r="H546" s="24"/>
      <c r="I546" s="25"/>
    </row>
    <row r="547" ht="15.75" customHeight="1">
      <c r="B547" s="13"/>
      <c r="D547" s="16"/>
      <c r="E547" s="16"/>
      <c r="F547" s="19"/>
      <c r="G547" s="20"/>
      <c r="H547" s="24"/>
      <c r="I547" s="25"/>
    </row>
    <row r="548" ht="15.75" customHeight="1">
      <c r="B548" s="13"/>
      <c r="D548" s="16"/>
      <c r="E548" s="16"/>
      <c r="F548" s="19"/>
      <c r="G548" s="20"/>
      <c r="H548" s="24"/>
      <c r="I548" s="25"/>
    </row>
    <row r="549" ht="15.75" customHeight="1">
      <c r="B549" s="13"/>
      <c r="D549" s="16"/>
      <c r="E549" s="16"/>
      <c r="F549" s="19"/>
      <c r="G549" s="20"/>
      <c r="H549" s="24"/>
      <c r="I549" s="25"/>
    </row>
    <row r="550" ht="15.75" customHeight="1">
      <c r="B550" s="13"/>
      <c r="D550" s="16"/>
      <c r="E550" s="16"/>
      <c r="F550" s="19"/>
      <c r="G550" s="20"/>
      <c r="H550" s="24"/>
      <c r="I550" s="25"/>
    </row>
    <row r="551" ht="15.75" customHeight="1">
      <c r="B551" s="13"/>
      <c r="D551" s="16"/>
      <c r="E551" s="16"/>
      <c r="F551" s="19"/>
      <c r="G551" s="20"/>
      <c r="H551" s="24"/>
      <c r="I551" s="25"/>
    </row>
    <row r="552" ht="15.75" customHeight="1">
      <c r="B552" s="13"/>
      <c r="D552" s="16"/>
      <c r="E552" s="16"/>
      <c r="F552" s="19"/>
      <c r="G552" s="20"/>
      <c r="H552" s="24"/>
      <c r="I552" s="25"/>
    </row>
    <row r="553" ht="15.75" customHeight="1">
      <c r="B553" s="13"/>
      <c r="D553" s="16"/>
      <c r="E553" s="16"/>
      <c r="F553" s="19"/>
      <c r="G553" s="20"/>
      <c r="H553" s="24"/>
      <c r="I553" s="25"/>
    </row>
    <row r="554" ht="15.75" customHeight="1">
      <c r="B554" s="13"/>
      <c r="D554" s="16"/>
      <c r="E554" s="16"/>
      <c r="F554" s="19"/>
      <c r="G554" s="20"/>
      <c r="H554" s="24"/>
      <c r="I554" s="25"/>
    </row>
    <row r="555" ht="15.75" customHeight="1">
      <c r="B555" s="13"/>
      <c r="D555" s="16"/>
      <c r="E555" s="16"/>
      <c r="F555" s="19"/>
      <c r="G555" s="20"/>
      <c r="H555" s="24"/>
      <c r="I555" s="25"/>
    </row>
    <row r="556" ht="15.75" customHeight="1">
      <c r="B556" s="13"/>
      <c r="D556" s="16"/>
      <c r="E556" s="16"/>
      <c r="F556" s="19"/>
      <c r="G556" s="20"/>
      <c r="H556" s="24"/>
      <c r="I556" s="25"/>
    </row>
    <row r="557" ht="15.75" customHeight="1">
      <c r="B557" s="13"/>
      <c r="D557" s="16"/>
      <c r="E557" s="16"/>
      <c r="F557" s="19"/>
      <c r="G557" s="20"/>
      <c r="H557" s="24"/>
      <c r="I557" s="25"/>
    </row>
    <row r="558" ht="15.75" customHeight="1">
      <c r="B558" s="13"/>
      <c r="D558" s="16"/>
      <c r="E558" s="16"/>
      <c r="F558" s="19"/>
      <c r="G558" s="20"/>
      <c r="H558" s="24"/>
      <c r="I558" s="25"/>
    </row>
    <row r="559" ht="15.75" customHeight="1">
      <c r="B559" s="13"/>
      <c r="D559" s="16"/>
      <c r="E559" s="16"/>
      <c r="F559" s="19"/>
      <c r="G559" s="20"/>
      <c r="H559" s="24"/>
      <c r="I559" s="25"/>
    </row>
    <row r="560" ht="15.75" customHeight="1">
      <c r="B560" s="13"/>
      <c r="D560" s="16"/>
      <c r="E560" s="16"/>
      <c r="F560" s="19"/>
      <c r="G560" s="20"/>
      <c r="H560" s="24"/>
      <c r="I560" s="25"/>
    </row>
    <row r="561" ht="15.75" customHeight="1">
      <c r="B561" s="13"/>
      <c r="D561" s="16"/>
      <c r="E561" s="16"/>
      <c r="F561" s="19"/>
      <c r="G561" s="20"/>
      <c r="H561" s="24"/>
      <c r="I561" s="25"/>
    </row>
    <row r="562" ht="15.75" customHeight="1">
      <c r="B562" s="13"/>
      <c r="D562" s="16"/>
      <c r="E562" s="16"/>
      <c r="F562" s="19"/>
      <c r="G562" s="20"/>
      <c r="H562" s="24"/>
      <c r="I562" s="25"/>
    </row>
    <row r="563" ht="15.75" customHeight="1">
      <c r="B563" s="13"/>
      <c r="D563" s="16"/>
      <c r="E563" s="16"/>
      <c r="F563" s="19"/>
      <c r="G563" s="20"/>
      <c r="H563" s="24"/>
      <c r="I563" s="25"/>
    </row>
    <row r="564" ht="15.75" customHeight="1">
      <c r="B564" s="13"/>
      <c r="D564" s="16"/>
      <c r="E564" s="16"/>
      <c r="F564" s="19"/>
      <c r="G564" s="20"/>
      <c r="H564" s="24"/>
      <c r="I564" s="25"/>
    </row>
    <row r="565" ht="15.75" customHeight="1">
      <c r="B565" s="13"/>
      <c r="D565" s="16"/>
      <c r="E565" s="16"/>
      <c r="F565" s="19"/>
      <c r="G565" s="20"/>
      <c r="H565" s="24"/>
      <c r="I565" s="25"/>
    </row>
    <row r="566" ht="15.75" customHeight="1">
      <c r="B566" s="13"/>
      <c r="D566" s="16"/>
      <c r="E566" s="16"/>
      <c r="F566" s="19"/>
      <c r="G566" s="20"/>
      <c r="H566" s="24"/>
      <c r="I566" s="25"/>
    </row>
    <row r="567" ht="15.75" customHeight="1">
      <c r="B567" s="13"/>
      <c r="D567" s="16"/>
      <c r="E567" s="16"/>
      <c r="F567" s="19"/>
      <c r="G567" s="20"/>
      <c r="H567" s="24"/>
      <c r="I567" s="25"/>
    </row>
    <row r="568" ht="15.75" customHeight="1">
      <c r="B568" s="13"/>
      <c r="D568" s="16"/>
      <c r="E568" s="16"/>
      <c r="F568" s="19"/>
      <c r="G568" s="20"/>
      <c r="H568" s="24"/>
      <c r="I568" s="25"/>
    </row>
    <row r="569" ht="15.75" customHeight="1">
      <c r="B569" s="13"/>
      <c r="D569" s="16"/>
      <c r="E569" s="16"/>
      <c r="F569" s="19"/>
      <c r="G569" s="20"/>
      <c r="H569" s="24"/>
      <c r="I569" s="25"/>
    </row>
    <row r="570" ht="15.75" customHeight="1">
      <c r="B570" s="13"/>
      <c r="D570" s="16"/>
      <c r="E570" s="16"/>
      <c r="F570" s="19"/>
      <c r="G570" s="20"/>
      <c r="H570" s="24"/>
      <c r="I570" s="25"/>
    </row>
    <row r="571" ht="15.75" customHeight="1">
      <c r="B571" s="13"/>
      <c r="D571" s="16"/>
      <c r="E571" s="16"/>
      <c r="F571" s="19"/>
      <c r="G571" s="20"/>
      <c r="H571" s="24"/>
      <c r="I571" s="25"/>
    </row>
    <row r="572" ht="15.75" customHeight="1">
      <c r="B572" s="13"/>
      <c r="D572" s="16"/>
      <c r="E572" s="16"/>
      <c r="F572" s="19"/>
      <c r="G572" s="20"/>
      <c r="H572" s="24"/>
      <c r="I572" s="25"/>
    </row>
    <row r="573" ht="15.75" customHeight="1">
      <c r="B573" s="13"/>
      <c r="D573" s="16"/>
      <c r="E573" s="16"/>
      <c r="F573" s="19"/>
      <c r="G573" s="20"/>
      <c r="H573" s="24"/>
      <c r="I573" s="25"/>
    </row>
    <row r="574" ht="15.75" customHeight="1">
      <c r="B574" s="13"/>
      <c r="D574" s="16"/>
      <c r="E574" s="16"/>
      <c r="F574" s="19"/>
      <c r="G574" s="20"/>
      <c r="H574" s="24"/>
      <c r="I574" s="25"/>
    </row>
    <row r="575" ht="15.75" customHeight="1">
      <c r="B575" s="13"/>
      <c r="D575" s="16"/>
      <c r="E575" s="16"/>
      <c r="F575" s="19"/>
      <c r="G575" s="20"/>
      <c r="H575" s="24"/>
      <c r="I575" s="25"/>
    </row>
    <row r="576" ht="15.75" customHeight="1">
      <c r="B576" s="13"/>
      <c r="D576" s="16"/>
      <c r="E576" s="16"/>
      <c r="F576" s="19"/>
      <c r="G576" s="20"/>
      <c r="H576" s="24"/>
      <c r="I576" s="25"/>
    </row>
    <row r="577" ht="15.75" customHeight="1">
      <c r="B577" s="13"/>
      <c r="D577" s="16"/>
      <c r="E577" s="16"/>
      <c r="F577" s="19"/>
      <c r="G577" s="20"/>
      <c r="H577" s="24"/>
      <c r="I577" s="25"/>
    </row>
    <row r="578" ht="15.75" customHeight="1">
      <c r="B578" s="13"/>
      <c r="D578" s="16"/>
      <c r="E578" s="16"/>
      <c r="F578" s="19"/>
      <c r="G578" s="20"/>
      <c r="H578" s="24"/>
      <c r="I578" s="25"/>
    </row>
    <row r="579" ht="15.75" customHeight="1">
      <c r="B579" s="13"/>
      <c r="D579" s="16"/>
      <c r="E579" s="16"/>
      <c r="F579" s="19"/>
      <c r="G579" s="20"/>
      <c r="H579" s="24"/>
      <c r="I579" s="25"/>
    </row>
    <row r="580" ht="15.75" customHeight="1">
      <c r="B580" s="13"/>
      <c r="D580" s="16"/>
      <c r="E580" s="16"/>
      <c r="F580" s="19"/>
      <c r="G580" s="20"/>
      <c r="H580" s="24"/>
      <c r="I580" s="25"/>
    </row>
    <row r="581" ht="15.75" customHeight="1">
      <c r="B581" s="13"/>
      <c r="D581" s="16"/>
      <c r="E581" s="16"/>
      <c r="F581" s="19"/>
      <c r="G581" s="20"/>
      <c r="H581" s="24"/>
      <c r="I581" s="25"/>
    </row>
    <row r="582" ht="15.75" customHeight="1">
      <c r="B582" s="13"/>
      <c r="D582" s="16"/>
      <c r="E582" s="16"/>
      <c r="F582" s="19"/>
      <c r="G582" s="20"/>
      <c r="H582" s="24"/>
      <c r="I582" s="25"/>
    </row>
    <row r="583" ht="15.75" customHeight="1">
      <c r="B583" s="13"/>
      <c r="D583" s="16"/>
      <c r="E583" s="16"/>
      <c r="F583" s="19"/>
      <c r="G583" s="20"/>
      <c r="H583" s="24"/>
      <c r="I583" s="25"/>
    </row>
    <row r="584" ht="15.75" customHeight="1">
      <c r="B584" s="13"/>
      <c r="D584" s="16"/>
      <c r="E584" s="16"/>
      <c r="F584" s="19"/>
      <c r="G584" s="20"/>
      <c r="H584" s="24"/>
      <c r="I584" s="25"/>
    </row>
    <row r="585" ht="15.75" customHeight="1">
      <c r="B585" s="13"/>
      <c r="D585" s="16"/>
      <c r="E585" s="16"/>
      <c r="F585" s="19"/>
      <c r="G585" s="20"/>
      <c r="H585" s="24"/>
      <c r="I585" s="25"/>
    </row>
    <row r="586" ht="15.75" customHeight="1">
      <c r="B586" s="13"/>
      <c r="D586" s="16"/>
      <c r="E586" s="16"/>
      <c r="F586" s="19"/>
      <c r="G586" s="20"/>
      <c r="H586" s="24"/>
      <c r="I586" s="25"/>
    </row>
    <row r="587" ht="15.75" customHeight="1">
      <c r="B587" s="13"/>
      <c r="D587" s="16"/>
      <c r="E587" s="16"/>
      <c r="F587" s="19"/>
      <c r="G587" s="20"/>
      <c r="H587" s="24"/>
      <c r="I587" s="25"/>
    </row>
    <row r="588" ht="15.75" customHeight="1">
      <c r="B588" s="13"/>
      <c r="D588" s="16"/>
      <c r="E588" s="16"/>
      <c r="F588" s="19"/>
      <c r="G588" s="20"/>
      <c r="H588" s="24"/>
      <c r="I588" s="25"/>
    </row>
    <row r="589" ht="15.75" customHeight="1">
      <c r="B589" s="13"/>
      <c r="D589" s="16"/>
      <c r="E589" s="16"/>
      <c r="F589" s="19"/>
      <c r="G589" s="20"/>
      <c r="H589" s="24"/>
      <c r="I589" s="25"/>
    </row>
    <row r="590" ht="15.75" customHeight="1">
      <c r="B590" s="13"/>
      <c r="D590" s="16"/>
      <c r="E590" s="16"/>
      <c r="F590" s="19"/>
      <c r="G590" s="20"/>
      <c r="H590" s="24"/>
      <c r="I590" s="25"/>
    </row>
    <row r="591" ht="15.75" customHeight="1">
      <c r="B591" s="13"/>
      <c r="D591" s="16"/>
      <c r="E591" s="16"/>
      <c r="F591" s="19"/>
      <c r="G591" s="20"/>
      <c r="H591" s="24"/>
      <c r="I591" s="25"/>
    </row>
    <row r="592" ht="15.75" customHeight="1">
      <c r="B592" s="13"/>
      <c r="D592" s="16"/>
      <c r="E592" s="16"/>
      <c r="F592" s="19"/>
      <c r="G592" s="20"/>
      <c r="H592" s="24"/>
      <c r="I592" s="25"/>
    </row>
    <row r="593" ht="15.75" customHeight="1">
      <c r="B593" s="13"/>
      <c r="D593" s="16"/>
      <c r="E593" s="16"/>
      <c r="F593" s="19"/>
      <c r="G593" s="20"/>
      <c r="H593" s="24"/>
      <c r="I593" s="25"/>
    </row>
    <row r="594" ht="15.75" customHeight="1">
      <c r="B594" s="13"/>
      <c r="D594" s="16"/>
      <c r="E594" s="16"/>
      <c r="F594" s="19"/>
      <c r="G594" s="20"/>
      <c r="H594" s="24"/>
      <c r="I594" s="25"/>
    </row>
    <row r="595" ht="15.75" customHeight="1">
      <c r="B595" s="13"/>
      <c r="D595" s="16"/>
      <c r="E595" s="16"/>
      <c r="F595" s="19"/>
      <c r="G595" s="20"/>
      <c r="H595" s="24"/>
      <c r="I595" s="25"/>
    </row>
    <row r="596" ht="15.75" customHeight="1">
      <c r="B596" s="13"/>
      <c r="D596" s="16"/>
      <c r="E596" s="16"/>
      <c r="F596" s="19"/>
      <c r="G596" s="20"/>
      <c r="H596" s="24"/>
      <c r="I596" s="25"/>
    </row>
    <row r="597" ht="15.75" customHeight="1">
      <c r="B597" s="13"/>
      <c r="D597" s="16"/>
      <c r="E597" s="16"/>
      <c r="F597" s="19"/>
      <c r="G597" s="20"/>
      <c r="H597" s="24"/>
      <c r="I597" s="25"/>
    </row>
    <row r="598" ht="15.75" customHeight="1">
      <c r="B598" s="13"/>
      <c r="D598" s="16"/>
      <c r="E598" s="16"/>
      <c r="F598" s="19"/>
      <c r="G598" s="20"/>
      <c r="H598" s="24"/>
      <c r="I598" s="25"/>
    </row>
    <row r="599" ht="15.75" customHeight="1">
      <c r="B599" s="13"/>
      <c r="D599" s="16"/>
      <c r="E599" s="16"/>
      <c r="F599" s="19"/>
      <c r="G599" s="20"/>
      <c r="H599" s="24"/>
      <c r="I599" s="25"/>
    </row>
    <row r="600" ht="15.75" customHeight="1">
      <c r="B600" s="13"/>
      <c r="D600" s="16"/>
      <c r="E600" s="16"/>
      <c r="F600" s="19"/>
      <c r="G600" s="20"/>
      <c r="H600" s="24"/>
      <c r="I600" s="25"/>
    </row>
    <row r="601" ht="15.75" customHeight="1">
      <c r="B601" s="13"/>
      <c r="D601" s="16"/>
      <c r="E601" s="16"/>
      <c r="F601" s="19"/>
      <c r="G601" s="20"/>
      <c r="H601" s="24"/>
      <c r="I601" s="25"/>
    </row>
    <row r="602" ht="15.75" customHeight="1">
      <c r="B602" s="13"/>
      <c r="D602" s="16"/>
      <c r="E602" s="16"/>
      <c r="F602" s="19"/>
      <c r="G602" s="20"/>
      <c r="H602" s="24"/>
      <c r="I602" s="25"/>
    </row>
    <row r="603" ht="15.75" customHeight="1">
      <c r="B603" s="13"/>
      <c r="D603" s="16"/>
      <c r="E603" s="16"/>
      <c r="F603" s="19"/>
      <c r="G603" s="20"/>
      <c r="H603" s="24"/>
      <c r="I603" s="25"/>
    </row>
    <row r="604" ht="15.75" customHeight="1">
      <c r="B604" s="13"/>
      <c r="D604" s="16"/>
      <c r="E604" s="16"/>
      <c r="F604" s="19"/>
      <c r="G604" s="20"/>
      <c r="H604" s="24"/>
      <c r="I604" s="25"/>
    </row>
    <row r="605" ht="15.75" customHeight="1">
      <c r="B605" s="13"/>
      <c r="D605" s="16"/>
      <c r="E605" s="16"/>
      <c r="F605" s="19"/>
      <c r="G605" s="20"/>
      <c r="H605" s="24"/>
      <c r="I605" s="25"/>
    </row>
    <row r="606" ht="15.75" customHeight="1">
      <c r="B606" s="13"/>
      <c r="D606" s="16"/>
      <c r="E606" s="16"/>
      <c r="F606" s="19"/>
      <c r="G606" s="20"/>
      <c r="H606" s="24"/>
      <c r="I606" s="25"/>
    </row>
    <row r="607" ht="15.75" customHeight="1">
      <c r="B607" s="13"/>
      <c r="D607" s="16"/>
      <c r="E607" s="16"/>
      <c r="F607" s="19"/>
      <c r="G607" s="20"/>
      <c r="H607" s="24"/>
      <c r="I607" s="25"/>
    </row>
    <row r="608" ht="15.75" customHeight="1">
      <c r="B608" s="13"/>
      <c r="D608" s="16"/>
      <c r="E608" s="16"/>
      <c r="F608" s="19"/>
      <c r="G608" s="20"/>
      <c r="H608" s="24"/>
      <c r="I608" s="25"/>
    </row>
    <row r="609" ht="15.75" customHeight="1">
      <c r="B609" s="13"/>
      <c r="D609" s="16"/>
      <c r="E609" s="16"/>
      <c r="F609" s="19"/>
      <c r="G609" s="20"/>
      <c r="H609" s="24"/>
      <c r="I609" s="25"/>
    </row>
    <row r="610" ht="15.75" customHeight="1">
      <c r="B610" s="13"/>
      <c r="D610" s="16"/>
      <c r="E610" s="16"/>
      <c r="F610" s="19"/>
      <c r="G610" s="20"/>
      <c r="H610" s="24"/>
      <c r="I610" s="25"/>
    </row>
    <row r="611" ht="15.75" customHeight="1">
      <c r="B611" s="13"/>
      <c r="D611" s="16"/>
      <c r="E611" s="16"/>
      <c r="F611" s="19"/>
      <c r="G611" s="20"/>
      <c r="H611" s="24"/>
      <c r="I611" s="25"/>
    </row>
    <row r="612" ht="15.75" customHeight="1">
      <c r="B612" s="13"/>
      <c r="D612" s="16"/>
      <c r="E612" s="16"/>
      <c r="F612" s="19"/>
      <c r="G612" s="20"/>
      <c r="H612" s="24"/>
      <c r="I612" s="25"/>
    </row>
    <row r="613" ht="15.75" customHeight="1">
      <c r="B613" s="13"/>
      <c r="D613" s="16"/>
      <c r="E613" s="16"/>
      <c r="F613" s="19"/>
      <c r="G613" s="20"/>
      <c r="H613" s="24"/>
      <c r="I613" s="25"/>
    </row>
    <row r="614" ht="15.75" customHeight="1">
      <c r="B614" s="13"/>
      <c r="D614" s="16"/>
      <c r="E614" s="16"/>
      <c r="F614" s="19"/>
      <c r="G614" s="20"/>
      <c r="H614" s="24"/>
      <c r="I614" s="25"/>
    </row>
    <row r="615" ht="15.75" customHeight="1">
      <c r="B615" s="13"/>
      <c r="D615" s="16"/>
      <c r="E615" s="16"/>
      <c r="F615" s="19"/>
      <c r="G615" s="20"/>
      <c r="H615" s="24"/>
      <c r="I615" s="25"/>
    </row>
    <row r="616" ht="15.75" customHeight="1">
      <c r="B616" s="13"/>
      <c r="D616" s="16"/>
      <c r="E616" s="16"/>
      <c r="F616" s="19"/>
      <c r="G616" s="20"/>
      <c r="H616" s="24"/>
      <c r="I616" s="25"/>
    </row>
    <row r="617" ht="15.75" customHeight="1">
      <c r="B617" s="13"/>
      <c r="D617" s="16"/>
      <c r="E617" s="16"/>
      <c r="F617" s="19"/>
      <c r="G617" s="20"/>
      <c r="H617" s="24"/>
      <c r="I617" s="25"/>
    </row>
    <row r="618" ht="15.75" customHeight="1">
      <c r="B618" s="13"/>
      <c r="D618" s="16"/>
      <c r="E618" s="16"/>
      <c r="F618" s="19"/>
      <c r="G618" s="20"/>
      <c r="H618" s="24"/>
      <c r="I618" s="25"/>
    </row>
    <row r="619" ht="15.75" customHeight="1">
      <c r="B619" s="13"/>
      <c r="D619" s="16"/>
      <c r="E619" s="16"/>
      <c r="F619" s="19"/>
      <c r="G619" s="20"/>
      <c r="H619" s="24"/>
      <c r="I619" s="25"/>
    </row>
    <row r="620" ht="15.75" customHeight="1">
      <c r="B620" s="13"/>
      <c r="D620" s="16"/>
      <c r="E620" s="16"/>
      <c r="F620" s="19"/>
      <c r="G620" s="20"/>
      <c r="H620" s="24"/>
      <c r="I620" s="25"/>
    </row>
    <row r="621" ht="15.75" customHeight="1">
      <c r="B621" s="13"/>
      <c r="D621" s="16"/>
      <c r="E621" s="16"/>
      <c r="F621" s="19"/>
      <c r="G621" s="20"/>
      <c r="H621" s="24"/>
      <c r="I621" s="25"/>
    </row>
    <row r="622" ht="15.75" customHeight="1">
      <c r="B622" s="13"/>
      <c r="D622" s="16"/>
      <c r="E622" s="16"/>
      <c r="F622" s="19"/>
      <c r="G622" s="20"/>
      <c r="H622" s="24"/>
      <c r="I622" s="25"/>
    </row>
    <row r="623" ht="15.75" customHeight="1">
      <c r="B623" s="13"/>
      <c r="D623" s="16"/>
      <c r="E623" s="16"/>
      <c r="F623" s="19"/>
      <c r="G623" s="20"/>
      <c r="H623" s="24"/>
      <c r="I623" s="25"/>
    </row>
    <row r="624" ht="15.75" customHeight="1">
      <c r="B624" s="13"/>
      <c r="D624" s="16"/>
      <c r="E624" s="16"/>
      <c r="F624" s="19"/>
      <c r="G624" s="20"/>
      <c r="H624" s="24"/>
      <c r="I624" s="25"/>
    </row>
    <row r="625" ht="15.75" customHeight="1">
      <c r="B625" s="13"/>
      <c r="D625" s="16"/>
      <c r="E625" s="16"/>
      <c r="F625" s="19"/>
      <c r="G625" s="20"/>
      <c r="H625" s="24"/>
      <c r="I625" s="25"/>
    </row>
    <row r="626" ht="15.75" customHeight="1">
      <c r="B626" s="13"/>
      <c r="D626" s="16"/>
      <c r="E626" s="16"/>
      <c r="F626" s="19"/>
      <c r="G626" s="20"/>
      <c r="H626" s="24"/>
      <c r="I626" s="25"/>
    </row>
    <row r="627" ht="15.75" customHeight="1">
      <c r="B627" s="13"/>
      <c r="D627" s="16"/>
      <c r="E627" s="16"/>
      <c r="F627" s="19"/>
      <c r="G627" s="20"/>
      <c r="H627" s="24"/>
      <c r="I627" s="25"/>
    </row>
    <row r="628" ht="15.75" customHeight="1">
      <c r="B628" s="13"/>
      <c r="D628" s="16"/>
      <c r="E628" s="16"/>
      <c r="F628" s="19"/>
      <c r="G628" s="20"/>
      <c r="H628" s="24"/>
      <c r="I628" s="25"/>
    </row>
    <row r="629" ht="15.75" customHeight="1">
      <c r="B629" s="13"/>
      <c r="D629" s="16"/>
      <c r="E629" s="16"/>
      <c r="F629" s="19"/>
      <c r="G629" s="20"/>
      <c r="H629" s="24"/>
      <c r="I629" s="25"/>
    </row>
    <row r="630" ht="15.75" customHeight="1">
      <c r="B630" s="13"/>
      <c r="D630" s="16"/>
      <c r="E630" s="16"/>
      <c r="F630" s="19"/>
      <c r="G630" s="20"/>
      <c r="H630" s="24"/>
      <c r="I630" s="25"/>
    </row>
    <row r="631" ht="15.75" customHeight="1">
      <c r="B631" s="13"/>
      <c r="D631" s="16"/>
      <c r="E631" s="16"/>
      <c r="F631" s="19"/>
      <c r="G631" s="20"/>
      <c r="H631" s="24"/>
      <c r="I631" s="25"/>
    </row>
    <row r="632" ht="15.75" customHeight="1">
      <c r="B632" s="13"/>
      <c r="D632" s="16"/>
      <c r="E632" s="16"/>
      <c r="F632" s="19"/>
      <c r="G632" s="20"/>
      <c r="H632" s="24"/>
      <c r="I632" s="25"/>
    </row>
    <row r="633" ht="15.75" customHeight="1">
      <c r="B633" s="13"/>
      <c r="D633" s="16"/>
      <c r="E633" s="16"/>
      <c r="F633" s="19"/>
      <c r="G633" s="20"/>
      <c r="H633" s="24"/>
      <c r="I633" s="25"/>
    </row>
    <row r="634" ht="15.75" customHeight="1">
      <c r="B634" s="13"/>
      <c r="D634" s="16"/>
      <c r="E634" s="16"/>
      <c r="F634" s="19"/>
      <c r="G634" s="20"/>
      <c r="H634" s="24"/>
      <c r="I634" s="25"/>
    </row>
    <row r="635" ht="15.75" customHeight="1">
      <c r="B635" s="13"/>
      <c r="D635" s="16"/>
      <c r="E635" s="16"/>
      <c r="F635" s="19"/>
      <c r="G635" s="20"/>
      <c r="H635" s="24"/>
      <c r="I635" s="25"/>
    </row>
    <row r="636" ht="15.75" customHeight="1">
      <c r="B636" s="13"/>
      <c r="D636" s="16"/>
      <c r="E636" s="16"/>
      <c r="F636" s="19"/>
      <c r="G636" s="20"/>
      <c r="H636" s="24"/>
      <c r="I636" s="25"/>
    </row>
    <row r="637" ht="15.75" customHeight="1">
      <c r="B637" s="13"/>
      <c r="D637" s="16"/>
      <c r="E637" s="16"/>
      <c r="F637" s="19"/>
      <c r="G637" s="20"/>
      <c r="H637" s="24"/>
      <c r="I637" s="25"/>
    </row>
    <row r="638" ht="15.75" customHeight="1">
      <c r="B638" s="13"/>
      <c r="D638" s="16"/>
      <c r="E638" s="16"/>
      <c r="F638" s="19"/>
      <c r="G638" s="20"/>
      <c r="H638" s="24"/>
      <c r="I638" s="25"/>
    </row>
    <row r="639" ht="15.75" customHeight="1">
      <c r="B639" s="13"/>
      <c r="D639" s="16"/>
      <c r="E639" s="16"/>
      <c r="F639" s="19"/>
      <c r="G639" s="20"/>
      <c r="H639" s="24"/>
      <c r="I639" s="25"/>
    </row>
    <row r="640" ht="15.75" customHeight="1">
      <c r="B640" s="13"/>
      <c r="D640" s="16"/>
      <c r="E640" s="16"/>
      <c r="F640" s="19"/>
      <c r="G640" s="20"/>
      <c r="H640" s="24"/>
      <c r="I640" s="25"/>
    </row>
    <row r="641" ht="15.75" customHeight="1">
      <c r="B641" s="13"/>
      <c r="D641" s="16"/>
      <c r="E641" s="16"/>
      <c r="F641" s="19"/>
      <c r="G641" s="20"/>
      <c r="H641" s="24"/>
      <c r="I641" s="25"/>
    </row>
    <row r="642" ht="15.75" customHeight="1">
      <c r="B642" s="13"/>
      <c r="D642" s="16"/>
      <c r="E642" s="16"/>
      <c r="F642" s="19"/>
      <c r="G642" s="20"/>
      <c r="H642" s="24"/>
      <c r="I642" s="25"/>
    </row>
    <row r="643" ht="15.75" customHeight="1">
      <c r="B643" s="13"/>
      <c r="D643" s="16"/>
      <c r="E643" s="16"/>
      <c r="F643" s="19"/>
      <c r="G643" s="20"/>
      <c r="H643" s="24"/>
      <c r="I643" s="25"/>
    </row>
    <row r="644" ht="15.75" customHeight="1">
      <c r="B644" s="13"/>
      <c r="D644" s="16"/>
      <c r="E644" s="16"/>
      <c r="F644" s="19"/>
      <c r="G644" s="20"/>
      <c r="H644" s="24"/>
      <c r="I644" s="25"/>
    </row>
    <row r="645" ht="15.75" customHeight="1">
      <c r="B645" s="13"/>
      <c r="D645" s="16"/>
      <c r="E645" s="16"/>
      <c r="F645" s="19"/>
      <c r="G645" s="20"/>
      <c r="H645" s="24"/>
      <c r="I645" s="25"/>
    </row>
    <row r="646" ht="15.75" customHeight="1">
      <c r="B646" s="13"/>
      <c r="D646" s="16"/>
      <c r="E646" s="16"/>
      <c r="F646" s="19"/>
      <c r="G646" s="20"/>
      <c r="H646" s="24"/>
      <c r="I646" s="25"/>
    </row>
    <row r="647" ht="15.75" customHeight="1">
      <c r="B647" s="13"/>
      <c r="D647" s="16"/>
      <c r="E647" s="16"/>
      <c r="F647" s="19"/>
      <c r="G647" s="20"/>
      <c r="H647" s="24"/>
      <c r="I647" s="25"/>
    </row>
    <row r="648" ht="15.75" customHeight="1">
      <c r="B648" s="13"/>
      <c r="D648" s="16"/>
      <c r="E648" s="16"/>
      <c r="F648" s="19"/>
      <c r="G648" s="20"/>
      <c r="H648" s="24"/>
      <c r="I648" s="25"/>
    </row>
    <row r="649" ht="15.75" customHeight="1">
      <c r="B649" s="13"/>
      <c r="D649" s="16"/>
      <c r="E649" s="16"/>
      <c r="F649" s="19"/>
      <c r="G649" s="20"/>
      <c r="H649" s="24"/>
      <c r="I649" s="25"/>
    </row>
    <row r="650" ht="15.75" customHeight="1">
      <c r="B650" s="13"/>
      <c r="D650" s="16"/>
      <c r="E650" s="16"/>
      <c r="F650" s="19"/>
      <c r="G650" s="20"/>
      <c r="H650" s="24"/>
      <c r="I650" s="25"/>
    </row>
    <row r="651" ht="15.75" customHeight="1">
      <c r="B651" s="13"/>
      <c r="D651" s="16"/>
      <c r="E651" s="16"/>
      <c r="F651" s="19"/>
      <c r="G651" s="20"/>
      <c r="H651" s="24"/>
      <c r="I651" s="25"/>
    </row>
    <row r="652" ht="15.75" customHeight="1">
      <c r="B652" s="13"/>
      <c r="D652" s="16"/>
      <c r="E652" s="16"/>
      <c r="F652" s="19"/>
      <c r="G652" s="20"/>
      <c r="H652" s="24"/>
      <c r="I652" s="25"/>
    </row>
    <row r="653" ht="15.75" customHeight="1">
      <c r="B653" s="13"/>
      <c r="D653" s="16"/>
      <c r="E653" s="16"/>
      <c r="F653" s="19"/>
      <c r="G653" s="20"/>
      <c r="H653" s="24"/>
      <c r="I653" s="25"/>
    </row>
    <row r="654" ht="15.75" customHeight="1">
      <c r="B654" s="13"/>
      <c r="D654" s="16"/>
      <c r="E654" s="16"/>
      <c r="F654" s="19"/>
      <c r="G654" s="20"/>
      <c r="H654" s="24"/>
      <c r="I654" s="25"/>
    </row>
    <row r="655" ht="15.75" customHeight="1">
      <c r="B655" s="13"/>
      <c r="D655" s="16"/>
      <c r="E655" s="16"/>
      <c r="F655" s="19"/>
      <c r="G655" s="20"/>
      <c r="H655" s="24"/>
      <c r="I655" s="25"/>
    </row>
    <row r="656" ht="15.75" customHeight="1">
      <c r="B656" s="13"/>
      <c r="D656" s="16"/>
      <c r="E656" s="16"/>
      <c r="F656" s="19"/>
      <c r="G656" s="20"/>
      <c r="H656" s="24"/>
      <c r="I656" s="25"/>
    </row>
    <row r="657" ht="15.75" customHeight="1">
      <c r="B657" s="13"/>
      <c r="D657" s="16"/>
      <c r="E657" s="16"/>
      <c r="F657" s="19"/>
      <c r="G657" s="20"/>
      <c r="H657" s="24"/>
      <c r="I657" s="25"/>
    </row>
    <row r="658" ht="15.75" customHeight="1">
      <c r="B658" s="13"/>
      <c r="D658" s="16"/>
      <c r="E658" s="16"/>
      <c r="F658" s="19"/>
      <c r="G658" s="20"/>
      <c r="H658" s="24"/>
      <c r="I658" s="25"/>
    </row>
    <row r="659" ht="15.75" customHeight="1">
      <c r="B659" s="13"/>
      <c r="D659" s="16"/>
      <c r="E659" s="16"/>
      <c r="F659" s="19"/>
      <c r="G659" s="20"/>
      <c r="H659" s="24"/>
      <c r="I659" s="25"/>
    </row>
    <row r="660" ht="15.75" customHeight="1">
      <c r="B660" s="13"/>
      <c r="D660" s="16"/>
      <c r="E660" s="16"/>
      <c r="F660" s="19"/>
      <c r="G660" s="20"/>
      <c r="H660" s="24"/>
      <c r="I660" s="25"/>
    </row>
    <row r="661" ht="15.75" customHeight="1">
      <c r="B661" s="13"/>
      <c r="D661" s="16"/>
      <c r="E661" s="16"/>
      <c r="F661" s="19"/>
      <c r="G661" s="20"/>
      <c r="H661" s="24"/>
      <c r="I661" s="25"/>
    </row>
    <row r="662" ht="15.75" customHeight="1">
      <c r="B662" s="13"/>
      <c r="D662" s="16"/>
      <c r="E662" s="16"/>
      <c r="F662" s="19"/>
      <c r="G662" s="20"/>
      <c r="H662" s="24"/>
      <c r="I662" s="25"/>
    </row>
    <row r="663" ht="15.75" customHeight="1">
      <c r="B663" s="13"/>
      <c r="D663" s="16"/>
      <c r="E663" s="16"/>
      <c r="F663" s="19"/>
      <c r="G663" s="20"/>
      <c r="H663" s="24"/>
      <c r="I663" s="25"/>
    </row>
    <row r="664" ht="15.75" customHeight="1">
      <c r="B664" s="13"/>
      <c r="D664" s="16"/>
      <c r="E664" s="16"/>
      <c r="F664" s="19"/>
      <c r="G664" s="20"/>
      <c r="H664" s="24"/>
      <c r="I664" s="25"/>
    </row>
    <row r="665" ht="15.75" customHeight="1">
      <c r="B665" s="13"/>
      <c r="D665" s="16"/>
      <c r="E665" s="16"/>
      <c r="F665" s="19"/>
      <c r="G665" s="20"/>
      <c r="H665" s="24"/>
      <c r="I665" s="25"/>
    </row>
    <row r="666" ht="15.75" customHeight="1">
      <c r="B666" s="13"/>
      <c r="D666" s="16"/>
      <c r="E666" s="16"/>
      <c r="F666" s="19"/>
      <c r="G666" s="20"/>
      <c r="H666" s="24"/>
      <c r="I666" s="25"/>
    </row>
    <row r="667" ht="15.75" customHeight="1">
      <c r="B667" s="13"/>
      <c r="D667" s="16"/>
      <c r="E667" s="16"/>
      <c r="F667" s="19"/>
      <c r="G667" s="20"/>
      <c r="H667" s="24"/>
      <c r="I667" s="25"/>
    </row>
    <row r="668" ht="15.75" customHeight="1">
      <c r="B668" s="13"/>
      <c r="D668" s="16"/>
      <c r="E668" s="16"/>
      <c r="F668" s="19"/>
      <c r="G668" s="20"/>
      <c r="H668" s="24"/>
      <c r="I668" s="25"/>
    </row>
    <row r="669" ht="15.75" customHeight="1">
      <c r="B669" s="13"/>
      <c r="D669" s="16"/>
      <c r="E669" s="16"/>
      <c r="F669" s="19"/>
      <c r="G669" s="20"/>
      <c r="H669" s="24"/>
      <c r="I669" s="25"/>
    </row>
    <row r="670" ht="15.75" customHeight="1">
      <c r="B670" s="13"/>
      <c r="D670" s="16"/>
      <c r="E670" s="16"/>
      <c r="F670" s="19"/>
      <c r="G670" s="20"/>
      <c r="H670" s="24"/>
      <c r="I670" s="25"/>
    </row>
    <row r="671" ht="15.75" customHeight="1">
      <c r="B671" s="13"/>
      <c r="D671" s="16"/>
      <c r="E671" s="16"/>
      <c r="F671" s="19"/>
      <c r="G671" s="20"/>
      <c r="H671" s="24"/>
      <c r="I671" s="25"/>
    </row>
    <row r="672" ht="15.75" customHeight="1">
      <c r="B672" s="13"/>
      <c r="D672" s="16"/>
      <c r="E672" s="16"/>
      <c r="F672" s="19"/>
      <c r="G672" s="20"/>
      <c r="H672" s="24"/>
      <c r="I672" s="25"/>
    </row>
    <row r="673" ht="15.75" customHeight="1">
      <c r="B673" s="13"/>
      <c r="D673" s="16"/>
      <c r="E673" s="16"/>
      <c r="F673" s="19"/>
      <c r="G673" s="20"/>
      <c r="H673" s="24"/>
      <c r="I673" s="25"/>
    </row>
    <row r="674" ht="15.75" customHeight="1">
      <c r="B674" s="13"/>
      <c r="D674" s="16"/>
      <c r="E674" s="16"/>
      <c r="F674" s="19"/>
      <c r="G674" s="20"/>
      <c r="H674" s="24"/>
      <c r="I674" s="25"/>
    </row>
    <row r="675" ht="15.75" customHeight="1">
      <c r="B675" s="13"/>
      <c r="D675" s="16"/>
      <c r="E675" s="16"/>
      <c r="F675" s="19"/>
      <c r="G675" s="20"/>
      <c r="H675" s="24"/>
      <c r="I675" s="25"/>
    </row>
    <row r="676" ht="15.75" customHeight="1">
      <c r="B676" s="13"/>
      <c r="D676" s="16"/>
      <c r="E676" s="16"/>
      <c r="F676" s="19"/>
      <c r="G676" s="20"/>
      <c r="H676" s="24"/>
      <c r="I676" s="25"/>
    </row>
    <row r="677" ht="15.75" customHeight="1">
      <c r="B677" s="13"/>
      <c r="D677" s="16"/>
      <c r="E677" s="16"/>
      <c r="F677" s="19"/>
      <c r="G677" s="20"/>
      <c r="H677" s="24"/>
      <c r="I677" s="25"/>
    </row>
    <row r="678" ht="15.75" customHeight="1">
      <c r="B678" s="13"/>
      <c r="D678" s="16"/>
      <c r="E678" s="16"/>
      <c r="F678" s="19"/>
      <c r="G678" s="20"/>
      <c r="H678" s="24"/>
      <c r="I678" s="25"/>
    </row>
    <row r="679" ht="15.75" customHeight="1">
      <c r="B679" s="13"/>
      <c r="D679" s="16"/>
      <c r="E679" s="16"/>
      <c r="F679" s="19"/>
      <c r="G679" s="20"/>
      <c r="H679" s="24"/>
      <c r="I679" s="25"/>
    </row>
    <row r="680" ht="15.75" customHeight="1">
      <c r="B680" s="13"/>
      <c r="D680" s="16"/>
      <c r="E680" s="16"/>
      <c r="F680" s="19"/>
      <c r="G680" s="20"/>
      <c r="H680" s="24"/>
      <c r="I680" s="25"/>
    </row>
    <row r="681" ht="15.75" customHeight="1">
      <c r="B681" s="13"/>
      <c r="D681" s="16"/>
      <c r="E681" s="16"/>
      <c r="F681" s="19"/>
      <c r="G681" s="20"/>
      <c r="H681" s="24"/>
      <c r="I681" s="25"/>
    </row>
    <row r="682" ht="15.75" customHeight="1">
      <c r="B682" s="13"/>
      <c r="D682" s="16"/>
      <c r="E682" s="16"/>
      <c r="F682" s="19"/>
      <c r="G682" s="20"/>
      <c r="H682" s="24"/>
      <c r="I682" s="25"/>
    </row>
    <row r="683" ht="15.75" customHeight="1">
      <c r="B683" s="13"/>
      <c r="D683" s="16"/>
      <c r="E683" s="16"/>
      <c r="F683" s="19"/>
      <c r="G683" s="20"/>
      <c r="H683" s="24"/>
      <c r="I683" s="25"/>
    </row>
    <row r="684" ht="15.75" customHeight="1">
      <c r="B684" s="13"/>
      <c r="D684" s="16"/>
      <c r="E684" s="16"/>
      <c r="F684" s="19"/>
      <c r="G684" s="20"/>
      <c r="H684" s="24"/>
      <c r="I684" s="25"/>
    </row>
    <row r="685" ht="15.75" customHeight="1">
      <c r="B685" s="13"/>
      <c r="D685" s="16"/>
      <c r="E685" s="16"/>
      <c r="F685" s="19"/>
      <c r="G685" s="20"/>
      <c r="H685" s="24"/>
      <c r="I685" s="25"/>
    </row>
    <row r="686" ht="15.75" customHeight="1">
      <c r="B686" s="13"/>
      <c r="D686" s="16"/>
      <c r="E686" s="16"/>
      <c r="F686" s="19"/>
      <c r="G686" s="20"/>
      <c r="H686" s="24"/>
      <c r="I686" s="25"/>
    </row>
    <row r="687" ht="15.75" customHeight="1">
      <c r="B687" s="13"/>
      <c r="D687" s="16"/>
      <c r="E687" s="16"/>
      <c r="F687" s="19"/>
      <c r="G687" s="20"/>
      <c r="H687" s="24"/>
      <c r="I687" s="25"/>
    </row>
    <row r="688" ht="15.75" customHeight="1">
      <c r="B688" s="13"/>
      <c r="D688" s="16"/>
      <c r="E688" s="16"/>
      <c r="F688" s="19"/>
      <c r="G688" s="20"/>
      <c r="H688" s="24"/>
      <c r="I688" s="25"/>
    </row>
    <row r="689" ht="15.75" customHeight="1">
      <c r="B689" s="13"/>
      <c r="D689" s="16"/>
      <c r="E689" s="16"/>
      <c r="F689" s="19"/>
      <c r="G689" s="20"/>
      <c r="H689" s="24"/>
      <c r="I689" s="25"/>
    </row>
    <row r="690" ht="15.75" customHeight="1">
      <c r="B690" s="13"/>
      <c r="D690" s="16"/>
      <c r="E690" s="16"/>
      <c r="F690" s="19"/>
      <c r="G690" s="20"/>
      <c r="H690" s="24"/>
      <c r="I690" s="25"/>
    </row>
    <row r="691" ht="15.75" customHeight="1">
      <c r="B691" s="13"/>
      <c r="D691" s="16"/>
      <c r="E691" s="16"/>
      <c r="F691" s="19"/>
      <c r="G691" s="20"/>
      <c r="H691" s="24"/>
      <c r="I691" s="25"/>
    </row>
    <row r="692" ht="15.75" customHeight="1">
      <c r="B692" s="13"/>
      <c r="D692" s="16"/>
      <c r="E692" s="16"/>
      <c r="F692" s="19"/>
      <c r="G692" s="20"/>
      <c r="H692" s="24"/>
      <c r="I692" s="25"/>
    </row>
    <row r="693" ht="15.75" customHeight="1">
      <c r="B693" s="13"/>
      <c r="D693" s="16"/>
      <c r="E693" s="16"/>
      <c r="F693" s="19"/>
      <c r="G693" s="20"/>
      <c r="H693" s="24"/>
      <c r="I693" s="25"/>
    </row>
    <row r="694" ht="15.75" customHeight="1">
      <c r="B694" s="13"/>
      <c r="D694" s="16"/>
      <c r="E694" s="16"/>
      <c r="F694" s="19"/>
      <c r="G694" s="20"/>
      <c r="H694" s="24"/>
      <c r="I694" s="25"/>
    </row>
    <row r="695" ht="15.75" customHeight="1">
      <c r="B695" s="13"/>
      <c r="D695" s="16"/>
      <c r="E695" s="16"/>
      <c r="F695" s="19"/>
      <c r="G695" s="20"/>
      <c r="H695" s="24"/>
      <c r="I695" s="25"/>
    </row>
    <row r="696" ht="15.75" customHeight="1">
      <c r="B696" s="13"/>
      <c r="D696" s="16"/>
      <c r="E696" s="16"/>
      <c r="F696" s="19"/>
      <c r="G696" s="20"/>
      <c r="H696" s="24"/>
      <c r="I696" s="25"/>
    </row>
    <row r="697" ht="15.75" customHeight="1">
      <c r="B697" s="13"/>
      <c r="D697" s="16"/>
      <c r="E697" s="16"/>
      <c r="F697" s="19"/>
      <c r="G697" s="20"/>
      <c r="H697" s="24"/>
      <c r="I697" s="25"/>
    </row>
    <row r="698" ht="15.75" customHeight="1">
      <c r="B698" s="13"/>
      <c r="D698" s="16"/>
      <c r="E698" s="16"/>
      <c r="F698" s="19"/>
      <c r="G698" s="20"/>
      <c r="H698" s="24"/>
      <c r="I698" s="25"/>
    </row>
    <row r="699" ht="15.75" customHeight="1">
      <c r="B699" s="13"/>
      <c r="D699" s="16"/>
      <c r="E699" s="16"/>
      <c r="F699" s="19"/>
      <c r="G699" s="20"/>
      <c r="H699" s="24"/>
      <c r="I699" s="25"/>
    </row>
    <row r="700" ht="15.75" customHeight="1">
      <c r="B700" s="13"/>
      <c r="D700" s="16"/>
      <c r="E700" s="16"/>
      <c r="F700" s="19"/>
      <c r="G700" s="20"/>
      <c r="H700" s="24"/>
      <c r="I700" s="25"/>
    </row>
    <row r="701" ht="15.75" customHeight="1">
      <c r="B701" s="13"/>
      <c r="D701" s="16"/>
      <c r="E701" s="16"/>
      <c r="F701" s="19"/>
      <c r="G701" s="20"/>
      <c r="H701" s="24"/>
      <c r="I701" s="25"/>
    </row>
    <row r="702" ht="15.75" customHeight="1">
      <c r="B702" s="13"/>
      <c r="D702" s="16"/>
      <c r="E702" s="16"/>
      <c r="F702" s="19"/>
      <c r="G702" s="20"/>
      <c r="H702" s="24"/>
      <c r="I702" s="25"/>
    </row>
    <row r="703" ht="15.75" customHeight="1">
      <c r="B703" s="13"/>
      <c r="D703" s="16"/>
      <c r="E703" s="16"/>
      <c r="F703" s="19"/>
      <c r="G703" s="20"/>
      <c r="H703" s="24"/>
      <c r="I703" s="25"/>
    </row>
    <row r="704" ht="15.75" customHeight="1">
      <c r="B704" s="13"/>
      <c r="D704" s="16"/>
      <c r="E704" s="16"/>
      <c r="F704" s="19"/>
      <c r="G704" s="20"/>
      <c r="H704" s="24"/>
      <c r="I704" s="25"/>
    </row>
    <row r="705" ht="15.75" customHeight="1">
      <c r="B705" s="13"/>
      <c r="D705" s="16"/>
      <c r="E705" s="16"/>
      <c r="F705" s="19"/>
      <c r="G705" s="20"/>
      <c r="H705" s="24"/>
      <c r="I705" s="25"/>
    </row>
    <row r="706" ht="15.75" customHeight="1">
      <c r="B706" s="13"/>
      <c r="D706" s="16"/>
      <c r="E706" s="16"/>
      <c r="F706" s="19"/>
      <c r="G706" s="20"/>
      <c r="H706" s="24"/>
      <c r="I706" s="25"/>
    </row>
    <row r="707" ht="15.75" customHeight="1">
      <c r="B707" s="13"/>
      <c r="D707" s="16"/>
      <c r="E707" s="16"/>
      <c r="F707" s="19"/>
      <c r="G707" s="20"/>
      <c r="H707" s="24"/>
      <c r="I707" s="25"/>
    </row>
    <row r="708" ht="15.75" customHeight="1">
      <c r="B708" s="13"/>
      <c r="D708" s="16"/>
      <c r="E708" s="16"/>
      <c r="F708" s="19"/>
      <c r="G708" s="20"/>
      <c r="H708" s="24"/>
      <c r="I708" s="25"/>
    </row>
    <row r="709" ht="15.75" customHeight="1">
      <c r="B709" s="13"/>
      <c r="D709" s="16"/>
      <c r="E709" s="16"/>
      <c r="F709" s="19"/>
      <c r="G709" s="20"/>
      <c r="H709" s="24"/>
      <c r="I709" s="25"/>
    </row>
    <row r="710" ht="15.75" customHeight="1">
      <c r="B710" s="13"/>
      <c r="D710" s="16"/>
      <c r="E710" s="16"/>
      <c r="F710" s="19"/>
      <c r="G710" s="20"/>
      <c r="H710" s="24"/>
      <c r="I710" s="25"/>
    </row>
    <row r="711" ht="15.75" customHeight="1">
      <c r="B711" s="13"/>
      <c r="D711" s="16"/>
      <c r="E711" s="16"/>
      <c r="F711" s="19"/>
      <c r="G711" s="20"/>
      <c r="H711" s="24"/>
      <c r="I711" s="25"/>
    </row>
    <row r="712" ht="15.75" customHeight="1">
      <c r="B712" s="13"/>
      <c r="D712" s="16"/>
      <c r="E712" s="16"/>
      <c r="F712" s="19"/>
      <c r="G712" s="20"/>
      <c r="H712" s="24"/>
      <c r="I712" s="25"/>
    </row>
    <row r="713" ht="15.75" customHeight="1">
      <c r="B713" s="13"/>
      <c r="D713" s="16"/>
      <c r="E713" s="16"/>
      <c r="F713" s="19"/>
      <c r="G713" s="20"/>
      <c r="H713" s="24"/>
      <c r="I713" s="25"/>
    </row>
    <row r="714" ht="15.75" customHeight="1">
      <c r="B714" s="13"/>
      <c r="D714" s="16"/>
      <c r="E714" s="16"/>
      <c r="F714" s="19"/>
      <c r="G714" s="20"/>
      <c r="H714" s="24"/>
      <c r="I714" s="25"/>
    </row>
    <row r="715" ht="15.75" customHeight="1">
      <c r="B715" s="13"/>
      <c r="D715" s="16"/>
      <c r="E715" s="16"/>
      <c r="F715" s="19"/>
      <c r="G715" s="20"/>
      <c r="H715" s="24"/>
      <c r="I715" s="25"/>
    </row>
    <row r="716" ht="15.75" customHeight="1">
      <c r="B716" s="13"/>
      <c r="D716" s="16"/>
      <c r="E716" s="16"/>
      <c r="F716" s="19"/>
      <c r="G716" s="20"/>
      <c r="H716" s="24"/>
      <c r="I716" s="25"/>
    </row>
    <row r="717" ht="15.75" customHeight="1">
      <c r="B717" s="13"/>
      <c r="D717" s="16"/>
      <c r="E717" s="16"/>
      <c r="F717" s="19"/>
      <c r="G717" s="20"/>
      <c r="H717" s="24"/>
      <c r="I717" s="25"/>
    </row>
    <row r="718" ht="15.75" customHeight="1">
      <c r="B718" s="13"/>
      <c r="D718" s="16"/>
      <c r="E718" s="16"/>
      <c r="F718" s="19"/>
      <c r="G718" s="20"/>
      <c r="H718" s="24"/>
      <c r="I718" s="25"/>
    </row>
    <row r="719" ht="15.75" customHeight="1">
      <c r="B719" s="13"/>
      <c r="D719" s="16"/>
      <c r="E719" s="16"/>
      <c r="F719" s="19"/>
      <c r="G719" s="20"/>
      <c r="H719" s="24"/>
      <c r="I719" s="25"/>
    </row>
    <row r="720" ht="15.75" customHeight="1">
      <c r="B720" s="13"/>
      <c r="D720" s="16"/>
      <c r="E720" s="16"/>
      <c r="F720" s="19"/>
      <c r="G720" s="20"/>
      <c r="H720" s="24"/>
      <c r="I720" s="25"/>
    </row>
    <row r="721" ht="15.75" customHeight="1">
      <c r="B721" s="13"/>
      <c r="D721" s="16"/>
      <c r="E721" s="16"/>
      <c r="F721" s="19"/>
      <c r="G721" s="20"/>
      <c r="H721" s="24"/>
      <c r="I721" s="25"/>
    </row>
    <row r="722" ht="15.75" customHeight="1">
      <c r="B722" s="13"/>
      <c r="D722" s="16"/>
      <c r="E722" s="16"/>
      <c r="F722" s="19"/>
      <c r="G722" s="20"/>
      <c r="H722" s="24"/>
      <c r="I722" s="25"/>
    </row>
    <row r="723" ht="15.75" customHeight="1">
      <c r="B723" s="13"/>
      <c r="D723" s="16"/>
      <c r="E723" s="16"/>
      <c r="F723" s="19"/>
      <c r="G723" s="20"/>
      <c r="H723" s="24"/>
      <c r="I723" s="25"/>
    </row>
    <row r="724" ht="15.75" customHeight="1">
      <c r="B724" s="13"/>
      <c r="D724" s="16"/>
      <c r="E724" s="16"/>
      <c r="F724" s="19"/>
      <c r="G724" s="20"/>
      <c r="H724" s="24"/>
      <c r="I724" s="25"/>
    </row>
    <row r="725" ht="15.75" customHeight="1">
      <c r="B725" s="13"/>
      <c r="D725" s="16"/>
      <c r="E725" s="16"/>
      <c r="F725" s="19"/>
      <c r="G725" s="20"/>
      <c r="H725" s="24"/>
      <c r="I725" s="25"/>
    </row>
    <row r="726" ht="15.75" customHeight="1">
      <c r="B726" s="13"/>
      <c r="D726" s="16"/>
      <c r="E726" s="16"/>
      <c r="F726" s="19"/>
      <c r="G726" s="20"/>
      <c r="H726" s="24"/>
      <c r="I726" s="25"/>
    </row>
    <row r="727" ht="15.75" customHeight="1">
      <c r="B727" s="13"/>
      <c r="D727" s="16"/>
      <c r="E727" s="16"/>
      <c r="F727" s="19"/>
      <c r="G727" s="20"/>
      <c r="H727" s="24"/>
      <c r="I727" s="25"/>
    </row>
    <row r="728" ht="15.75" customHeight="1">
      <c r="B728" s="13"/>
      <c r="D728" s="16"/>
      <c r="E728" s="16"/>
      <c r="F728" s="19"/>
      <c r="G728" s="20"/>
      <c r="H728" s="24"/>
      <c r="I728" s="25"/>
    </row>
    <row r="729" ht="15.75" customHeight="1">
      <c r="B729" s="13"/>
      <c r="D729" s="16"/>
      <c r="E729" s="16"/>
      <c r="F729" s="19"/>
      <c r="G729" s="20"/>
      <c r="H729" s="24"/>
      <c r="I729" s="25"/>
    </row>
    <row r="730" ht="15.75" customHeight="1">
      <c r="B730" s="13"/>
      <c r="D730" s="16"/>
      <c r="E730" s="16"/>
      <c r="F730" s="19"/>
      <c r="G730" s="20"/>
      <c r="H730" s="24"/>
      <c r="I730" s="25"/>
    </row>
    <row r="731" ht="15.75" customHeight="1">
      <c r="B731" s="13"/>
      <c r="D731" s="16"/>
      <c r="E731" s="16"/>
      <c r="F731" s="19"/>
      <c r="G731" s="20"/>
      <c r="H731" s="24"/>
      <c r="I731" s="25"/>
    </row>
    <row r="732" ht="15.75" customHeight="1">
      <c r="B732" s="13"/>
      <c r="D732" s="16"/>
      <c r="E732" s="16"/>
      <c r="F732" s="19"/>
      <c r="G732" s="20"/>
      <c r="H732" s="24"/>
      <c r="I732" s="25"/>
    </row>
    <row r="733" ht="15.75" customHeight="1">
      <c r="B733" s="13"/>
      <c r="D733" s="16"/>
      <c r="E733" s="16"/>
      <c r="F733" s="19"/>
      <c r="G733" s="20"/>
      <c r="H733" s="24"/>
      <c r="I733" s="25"/>
    </row>
    <row r="734" ht="15.75" customHeight="1">
      <c r="B734" s="13"/>
      <c r="D734" s="16"/>
      <c r="E734" s="16"/>
      <c r="F734" s="19"/>
      <c r="G734" s="20"/>
      <c r="H734" s="24"/>
      <c r="I734" s="25"/>
    </row>
    <row r="735" ht="15.75" customHeight="1">
      <c r="B735" s="13"/>
      <c r="D735" s="16"/>
      <c r="E735" s="16"/>
      <c r="F735" s="19"/>
      <c r="G735" s="20"/>
      <c r="H735" s="24"/>
      <c r="I735" s="25"/>
    </row>
    <row r="736" ht="15.75" customHeight="1">
      <c r="B736" s="13"/>
      <c r="D736" s="16"/>
      <c r="E736" s="16"/>
      <c r="F736" s="19"/>
      <c r="G736" s="20"/>
      <c r="H736" s="24"/>
      <c r="I736" s="25"/>
    </row>
    <row r="737" ht="15.75" customHeight="1">
      <c r="B737" s="13"/>
      <c r="D737" s="16"/>
      <c r="E737" s="16"/>
      <c r="F737" s="19"/>
      <c r="G737" s="20"/>
      <c r="H737" s="24"/>
      <c r="I737" s="25"/>
    </row>
    <row r="738" ht="15.75" customHeight="1">
      <c r="B738" s="13"/>
      <c r="D738" s="16"/>
      <c r="E738" s="16"/>
      <c r="F738" s="19"/>
      <c r="G738" s="20"/>
      <c r="H738" s="24"/>
      <c r="I738" s="25"/>
    </row>
    <row r="739" ht="15.75" customHeight="1">
      <c r="B739" s="13"/>
      <c r="D739" s="16"/>
      <c r="E739" s="16"/>
      <c r="F739" s="19"/>
      <c r="G739" s="20"/>
      <c r="H739" s="24"/>
      <c r="I739" s="25"/>
    </row>
    <row r="740" ht="15.75" customHeight="1">
      <c r="B740" s="13"/>
      <c r="D740" s="16"/>
      <c r="E740" s="16"/>
      <c r="F740" s="19"/>
      <c r="G740" s="20"/>
      <c r="H740" s="24"/>
      <c r="I740" s="25"/>
    </row>
    <row r="741" ht="15.75" customHeight="1">
      <c r="B741" s="13"/>
      <c r="D741" s="16"/>
      <c r="E741" s="16"/>
      <c r="F741" s="19"/>
      <c r="G741" s="20"/>
      <c r="H741" s="24"/>
      <c r="I741" s="25"/>
    </row>
    <row r="742" ht="15.75" customHeight="1">
      <c r="B742" s="13"/>
      <c r="D742" s="16"/>
      <c r="E742" s="16"/>
      <c r="F742" s="19"/>
      <c r="G742" s="20"/>
      <c r="H742" s="24"/>
      <c r="I742" s="25"/>
    </row>
    <row r="743" ht="15.75" customHeight="1">
      <c r="B743" s="13"/>
      <c r="D743" s="16"/>
      <c r="E743" s="16"/>
      <c r="F743" s="19"/>
      <c r="G743" s="20"/>
      <c r="H743" s="24"/>
      <c r="I743" s="25"/>
    </row>
    <row r="744" ht="15.75" customHeight="1">
      <c r="B744" s="13"/>
      <c r="D744" s="16"/>
      <c r="E744" s="16"/>
      <c r="F744" s="19"/>
      <c r="G744" s="20"/>
      <c r="H744" s="24"/>
      <c r="I744" s="25"/>
    </row>
    <row r="745" ht="15.75" customHeight="1">
      <c r="B745" s="13"/>
      <c r="D745" s="16"/>
      <c r="E745" s="16"/>
      <c r="F745" s="19"/>
      <c r="G745" s="20"/>
      <c r="H745" s="24"/>
      <c r="I745" s="25"/>
    </row>
    <row r="746" ht="15.75" customHeight="1">
      <c r="B746" s="13"/>
      <c r="D746" s="16"/>
      <c r="E746" s="16"/>
      <c r="F746" s="19"/>
      <c r="G746" s="20"/>
      <c r="H746" s="24"/>
      <c r="I746" s="25"/>
    </row>
    <row r="747" ht="15.75" customHeight="1">
      <c r="B747" s="13"/>
      <c r="D747" s="16"/>
      <c r="E747" s="16"/>
      <c r="F747" s="19"/>
      <c r="G747" s="20"/>
      <c r="H747" s="24"/>
      <c r="I747" s="25"/>
    </row>
    <row r="748" ht="15.75" customHeight="1">
      <c r="B748" s="13"/>
      <c r="D748" s="16"/>
      <c r="E748" s="16"/>
      <c r="F748" s="19"/>
      <c r="G748" s="20"/>
      <c r="H748" s="24"/>
      <c r="I748" s="25"/>
    </row>
    <row r="749" ht="15.75" customHeight="1">
      <c r="B749" s="13"/>
      <c r="D749" s="16"/>
      <c r="E749" s="16"/>
      <c r="F749" s="19"/>
      <c r="G749" s="20"/>
      <c r="H749" s="24"/>
      <c r="I749" s="25"/>
    </row>
    <row r="750" ht="15.75" customHeight="1">
      <c r="B750" s="13"/>
      <c r="D750" s="16"/>
      <c r="E750" s="16"/>
      <c r="F750" s="19"/>
      <c r="G750" s="20"/>
      <c r="H750" s="24"/>
      <c r="I750" s="25"/>
    </row>
    <row r="751" ht="15.75" customHeight="1">
      <c r="B751" s="13"/>
      <c r="D751" s="16"/>
      <c r="E751" s="16"/>
      <c r="F751" s="19"/>
      <c r="G751" s="20"/>
      <c r="H751" s="24"/>
      <c r="I751" s="25"/>
    </row>
    <row r="752" ht="15.75" customHeight="1">
      <c r="B752" s="13"/>
      <c r="D752" s="16"/>
      <c r="E752" s="16"/>
      <c r="F752" s="19"/>
      <c r="G752" s="20"/>
      <c r="H752" s="24"/>
      <c r="I752" s="25"/>
    </row>
    <row r="753" ht="15.75" customHeight="1">
      <c r="B753" s="13"/>
      <c r="D753" s="16"/>
      <c r="E753" s="16"/>
      <c r="F753" s="19"/>
      <c r="G753" s="20"/>
      <c r="H753" s="24"/>
      <c r="I753" s="25"/>
    </row>
    <row r="754" ht="15.75" customHeight="1">
      <c r="B754" s="13"/>
      <c r="D754" s="16"/>
      <c r="E754" s="16"/>
      <c r="F754" s="19"/>
      <c r="G754" s="20"/>
      <c r="H754" s="24"/>
      <c r="I754" s="25"/>
    </row>
    <row r="755" ht="15.75" customHeight="1">
      <c r="B755" s="13"/>
      <c r="D755" s="16"/>
      <c r="E755" s="16"/>
      <c r="F755" s="19"/>
      <c r="G755" s="20"/>
      <c r="H755" s="24"/>
      <c r="I755" s="25"/>
    </row>
    <row r="756" ht="15.75" customHeight="1">
      <c r="B756" s="13"/>
      <c r="D756" s="16"/>
      <c r="E756" s="16"/>
      <c r="F756" s="19"/>
      <c r="G756" s="20"/>
      <c r="H756" s="24"/>
      <c r="I756" s="25"/>
    </row>
    <row r="757" ht="15.75" customHeight="1">
      <c r="B757" s="13"/>
      <c r="D757" s="16"/>
      <c r="E757" s="16"/>
      <c r="F757" s="19"/>
      <c r="G757" s="20"/>
      <c r="H757" s="24"/>
      <c r="I757" s="25"/>
    </row>
    <row r="758" ht="15.75" customHeight="1">
      <c r="B758" s="13"/>
      <c r="D758" s="16"/>
      <c r="E758" s="16"/>
      <c r="F758" s="19"/>
      <c r="G758" s="20"/>
      <c r="H758" s="24"/>
      <c r="I758" s="25"/>
    </row>
    <row r="759" ht="15.75" customHeight="1">
      <c r="B759" s="13"/>
      <c r="D759" s="16"/>
      <c r="E759" s="16"/>
      <c r="F759" s="19"/>
      <c r="G759" s="20"/>
      <c r="H759" s="24"/>
      <c r="I759" s="25"/>
    </row>
    <row r="760" ht="15.75" customHeight="1">
      <c r="B760" s="13"/>
      <c r="D760" s="16"/>
      <c r="E760" s="16"/>
      <c r="F760" s="19"/>
      <c r="G760" s="20"/>
      <c r="H760" s="24"/>
      <c r="I760" s="25"/>
    </row>
    <row r="761" ht="15.75" customHeight="1">
      <c r="B761" s="13"/>
      <c r="D761" s="16"/>
      <c r="E761" s="16"/>
      <c r="F761" s="19"/>
      <c r="G761" s="20"/>
      <c r="H761" s="24"/>
      <c r="I761" s="25"/>
    </row>
    <row r="762" ht="15.75" customHeight="1">
      <c r="B762" s="13"/>
      <c r="D762" s="16"/>
      <c r="E762" s="16"/>
      <c r="F762" s="19"/>
      <c r="G762" s="20"/>
      <c r="H762" s="24"/>
      <c r="I762" s="25"/>
    </row>
    <row r="763" ht="15.75" customHeight="1">
      <c r="B763" s="13"/>
      <c r="D763" s="16"/>
      <c r="E763" s="16"/>
      <c r="F763" s="19"/>
      <c r="G763" s="20"/>
      <c r="H763" s="24"/>
      <c r="I763" s="25"/>
    </row>
    <row r="764" ht="15.75" customHeight="1">
      <c r="B764" s="13"/>
      <c r="D764" s="16"/>
      <c r="E764" s="16"/>
      <c r="F764" s="19"/>
      <c r="G764" s="20"/>
      <c r="H764" s="24"/>
      <c r="I764" s="25"/>
    </row>
    <row r="765" ht="15.75" customHeight="1">
      <c r="B765" s="13"/>
      <c r="D765" s="16"/>
      <c r="E765" s="16"/>
      <c r="F765" s="19"/>
      <c r="G765" s="20"/>
      <c r="H765" s="24"/>
      <c r="I765" s="25"/>
    </row>
    <row r="766" ht="15.75" customHeight="1">
      <c r="B766" s="13"/>
      <c r="D766" s="16"/>
      <c r="E766" s="16"/>
      <c r="F766" s="19"/>
      <c r="G766" s="20"/>
      <c r="H766" s="24"/>
      <c r="I766" s="25"/>
    </row>
    <row r="767" ht="15.75" customHeight="1">
      <c r="B767" s="13"/>
      <c r="D767" s="16"/>
      <c r="E767" s="16"/>
      <c r="F767" s="19"/>
      <c r="G767" s="20"/>
      <c r="H767" s="24"/>
      <c r="I767" s="25"/>
    </row>
    <row r="768" ht="15.75" customHeight="1">
      <c r="B768" s="13"/>
      <c r="D768" s="16"/>
      <c r="E768" s="16"/>
      <c r="F768" s="19"/>
      <c r="G768" s="20"/>
      <c r="H768" s="24"/>
      <c r="I768" s="25"/>
    </row>
    <row r="769" ht="15.75" customHeight="1">
      <c r="B769" s="13"/>
      <c r="D769" s="16"/>
      <c r="E769" s="16"/>
      <c r="F769" s="19"/>
      <c r="G769" s="20"/>
      <c r="H769" s="24"/>
      <c r="I769" s="25"/>
    </row>
    <row r="770" ht="15.75" customHeight="1">
      <c r="B770" s="13"/>
      <c r="D770" s="16"/>
      <c r="E770" s="16"/>
      <c r="F770" s="19"/>
      <c r="G770" s="20"/>
      <c r="H770" s="24"/>
      <c r="I770" s="25"/>
    </row>
    <row r="771" ht="15.75" customHeight="1">
      <c r="B771" s="13"/>
      <c r="D771" s="16"/>
      <c r="E771" s="16"/>
      <c r="F771" s="19"/>
      <c r="G771" s="20"/>
      <c r="H771" s="24"/>
      <c r="I771" s="25"/>
    </row>
    <row r="772" ht="15.75" customHeight="1">
      <c r="B772" s="13"/>
      <c r="D772" s="16"/>
      <c r="E772" s="16"/>
      <c r="F772" s="19"/>
      <c r="G772" s="20"/>
      <c r="H772" s="24"/>
      <c r="I772" s="25"/>
    </row>
    <row r="773" ht="15.75" customHeight="1">
      <c r="B773" s="13"/>
      <c r="D773" s="16"/>
      <c r="E773" s="16"/>
      <c r="F773" s="19"/>
      <c r="G773" s="20"/>
      <c r="H773" s="24"/>
      <c r="I773" s="25"/>
    </row>
    <row r="774" ht="15.75" customHeight="1">
      <c r="B774" s="13"/>
      <c r="D774" s="16"/>
      <c r="E774" s="16"/>
      <c r="F774" s="19"/>
      <c r="G774" s="20"/>
      <c r="H774" s="24"/>
      <c r="I774" s="25"/>
    </row>
    <row r="775" ht="15.75" customHeight="1">
      <c r="B775" s="13"/>
      <c r="D775" s="16"/>
      <c r="E775" s="16"/>
      <c r="F775" s="19"/>
      <c r="G775" s="20"/>
      <c r="H775" s="24"/>
      <c r="I775" s="25"/>
    </row>
    <row r="776" ht="15.75" customHeight="1">
      <c r="B776" s="13"/>
      <c r="D776" s="16"/>
      <c r="E776" s="16"/>
      <c r="F776" s="19"/>
      <c r="G776" s="20"/>
      <c r="H776" s="24"/>
      <c r="I776" s="25"/>
    </row>
    <row r="777" ht="15.75" customHeight="1">
      <c r="B777" s="13"/>
      <c r="D777" s="16"/>
      <c r="E777" s="16"/>
      <c r="F777" s="19"/>
      <c r="G777" s="20"/>
      <c r="H777" s="24"/>
      <c r="I777" s="25"/>
    </row>
    <row r="778" ht="15.75" customHeight="1">
      <c r="B778" s="13"/>
      <c r="D778" s="16"/>
      <c r="E778" s="16"/>
      <c r="F778" s="19"/>
      <c r="G778" s="20"/>
      <c r="H778" s="24"/>
      <c r="I778" s="25"/>
    </row>
    <row r="779" ht="15.75" customHeight="1">
      <c r="B779" s="13"/>
      <c r="D779" s="16"/>
      <c r="E779" s="16"/>
      <c r="F779" s="19"/>
      <c r="G779" s="20"/>
      <c r="H779" s="24"/>
      <c r="I779" s="25"/>
    </row>
    <row r="780" ht="15.75" customHeight="1">
      <c r="B780" s="13"/>
      <c r="D780" s="16"/>
      <c r="E780" s="16"/>
      <c r="F780" s="19"/>
      <c r="G780" s="20"/>
      <c r="H780" s="24"/>
      <c r="I780" s="25"/>
    </row>
    <row r="781" ht="15.75" customHeight="1">
      <c r="B781" s="13"/>
      <c r="D781" s="16"/>
      <c r="E781" s="16"/>
      <c r="F781" s="19"/>
      <c r="G781" s="20"/>
      <c r="H781" s="24"/>
      <c r="I781" s="25"/>
    </row>
    <row r="782" ht="15.75" customHeight="1">
      <c r="B782" s="13"/>
      <c r="D782" s="16"/>
      <c r="E782" s="16"/>
      <c r="F782" s="19"/>
      <c r="G782" s="20"/>
      <c r="H782" s="24"/>
      <c r="I782" s="25"/>
    </row>
    <row r="783" ht="15.75" customHeight="1">
      <c r="B783" s="13"/>
      <c r="D783" s="16"/>
      <c r="E783" s="16"/>
      <c r="F783" s="19"/>
      <c r="G783" s="20"/>
      <c r="H783" s="24"/>
      <c r="I783" s="25"/>
    </row>
    <row r="784" ht="15.75" customHeight="1">
      <c r="B784" s="13"/>
      <c r="D784" s="16"/>
      <c r="E784" s="16"/>
      <c r="F784" s="19"/>
      <c r="G784" s="20"/>
      <c r="H784" s="24"/>
      <c r="I784" s="25"/>
    </row>
    <row r="785" ht="15.75" customHeight="1">
      <c r="B785" s="13"/>
      <c r="D785" s="16"/>
      <c r="E785" s="16"/>
      <c r="F785" s="19"/>
      <c r="G785" s="20"/>
      <c r="H785" s="24"/>
      <c r="I785" s="25"/>
    </row>
    <row r="786" ht="15.75" customHeight="1">
      <c r="B786" s="13"/>
      <c r="D786" s="16"/>
      <c r="E786" s="16"/>
      <c r="F786" s="19"/>
      <c r="G786" s="20"/>
      <c r="H786" s="24"/>
      <c r="I786" s="25"/>
    </row>
    <row r="787" ht="15.75" customHeight="1">
      <c r="B787" s="13"/>
      <c r="D787" s="16"/>
      <c r="E787" s="16"/>
      <c r="F787" s="19"/>
      <c r="G787" s="20"/>
      <c r="H787" s="24"/>
      <c r="I787" s="25"/>
    </row>
    <row r="788" ht="15.75" customHeight="1">
      <c r="B788" s="13"/>
      <c r="D788" s="16"/>
      <c r="E788" s="16"/>
      <c r="F788" s="19"/>
      <c r="G788" s="20"/>
      <c r="H788" s="24"/>
      <c r="I788" s="25"/>
    </row>
    <row r="789" ht="15.75" customHeight="1">
      <c r="B789" s="13"/>
      <c r="D789" s="16"/>
      <c r="E789" s="16"/>
      <c r="F789" s="19"/>
      <c r="G789" s="20"/>
      <c r="H789" s="24"/>
      <c r="I789" s="25"/>
    </row>
    <row r="790" ht="15.75" customHeight="1">
      <c r="B790" s="13"/>
      <c r="D790" s="16"/>
      <c r="E790" s="16"/>
      <c r="F790" s="19"/>
      <c r="G790" s="20"/>
      <c r="H790" s="24"/>
      <c r="I790" s="25"/>
    </row>
    <row r="791" ht="15.75" customHeight="1">
      <c r="B791" s="13"/>
      <c r="D791" s="16"/>
      <c r="E791" s="16"/>
      <c r="F791" s="19"/>
      <c r="G791" s="20"/>
      <c r="H791" s="24"/>
      <c r="I791" s="25"/>
    </row>
    <row r="792" ht="15.75" customHeight="1">
      <c r="B792" s="13"/>
      <c r="D792" s="16"/>
      <c r="E792" s="16"/>
      <c r="F792" s="19"/>
      <c r="G792" s="20"/>
      <c r="H792" s="24"/>
      <c r="I792" s="25"/>
    </row>
    <row r="793" ht="15.75" customHeight="1">
      <c r="B793" s="13"/>
      <c r="D793" s="16"/>
      <c r="E793" s="16"/>
      <c r="F793" s="19"/>
      <c r="G793" s="20"/>
      <c r="H793" s="24"/>
      <c r="I793" s="25"/>
    </row>
    <row r="794" ht="15.75" customHeight="1">
      <c r="B794" s="13"/>
      <c r="D794" s="16"/>
      <c r="E794" s="16"/>
      <c r="F794" s="19"/>
      <c r="G794" s="20"/>
      <c r="H794" s="24"/>
      <c r="I794" s="25"/>
    </row>
    <row r="795" ht="15.75" customHeight="1">
      <c r="B795" s="13"/>
      <c r="D795" s="16"/>
      <c r="E795" s="16"/>
      <c r="F795" s="19"/>
      <c r="G795" s="20"/>
      <c r="H795" s="24"/>
      <c r="I795" s="25"/>
    </row>
    <row r="796" ht="15.75" customHeight="1">
      <c r="B796" s="13"/>
      <c r="D796" s="16"/>
      <c r="E796" s="16"/>
      <c r="F796" s="19"/>
      <c r="G796" s="20"/>
      <c r="H796" s="24"/>
      <c r="I796" s="25"/>
    </row>
    <row r="797" ht="15.75" customHeight="1">
      <c r="B797" s="13"/>
      <c r="D797" s="16"/>
      <c r="E797" s="16"/>
      <c r="F797" s="19"/>
      <c r="G797" s="20"/>
      <c r="H797" s="24"/>
      <c r="I797" s="25"/>
    </row>
    <row r="798" ht="15.75" customHeight="1">
      <c r="B798" s="13"/>
      <c r="D798" s="16"/>
      <c r="E798" s="16"/>
      <c r="F798" s="19"/>
      <c r="G798" s="20"/>
      <c r="H798" s="24"/>
      <c r="I798" s="25"/>
    </row>
    <row r="799" ht="15.75" customHeight="1">
      <c r="B799" s="13"/>
      <c r="D799" s="16"/>
      <c r="E799" s="16"/>
      <c r="F799" s="19"/>
      <c r="G799" s="20"/>
      <c r="H799" s="24"/>
      <c r="I799" s="25"/>
    </row>
    <row r="800" ht="15.75" customHeight="1">
      <c r="B800" s="13"/>
      <c r="D800" s="16"/>
      <c r="E800" s="16"/>
      <c r="F800" s="19"/>
      <c r="G800" s="20"/>
      <c r="H800" s="24"/>
      <c r="I800" s="25"/>
    </row>
    <row r="801" ht="15.75" customHeight="1">
      <c r="B801" s="13"/>
      <c r="D801" s="16"/>
      <c r="E801" s="16"/>
      <c r="F801" s="19"/>
      <c r="G801" s="20"/>
      <c r="H801" s="24"/>
      <c r="I801" s="25"/>
    </row>
    <row r="802" ht="15.75" customHeight="1">
      <c r="B802" s="13"/>
      <c r="D802" s="16"/>
      <c r="E802" s="16"/>
      <c r="F802" s="19"/>
      <c r="G802" s="20"/>
      <c r="H802" s="24"/>
      <c r="I802" s="25"/>
    </row>
    <row r="803" ht="15.75" customHeight="1">
      <c r="B803" s="13"/>
      <c r="D803" s="16"/>
      <c r="E803" s="16"/>
      <c r="F803" s="19"/>
      <c r="G803" s="20"/>
      <c r="H803" s="24"/>
      <c r="I803" s="25"/>
    </row>
    <row r="804" ht="15.75" customHeight="1">
      <c r="B804" s="13"/>
      <c r="D804" s="16"/>
      <c r="E804" s="16"/>
      <c r="F804" s="19"/>
      <c r="G804" s="20"/>
      <c r="H804" s="24"/>
      <c r="I804" s="25"/>
    </row>
    <row r="805" ht="15.75" customHeight="1">
      <c r="B805" s="13"/>
      <c r="D805" s="16"/>
      <c r="E805" s="16"/>
      <c r="F805" s="19"/>
      <c r="G805" s="20"/>
      <c r="H805" s="24"/>
      <c r="I805" s="25"/>
    </row>
    <row r="806" ht="15.75" customHeight="1">
      <c r="B806" s="13"/>
      <c r="D806" s="16"/>
      <c r="E806" s="16"/>
      <c r="F806" s="19"/>
      <c r="G806" s="20"/>
      <c r="H806" s="24"/>
      <c r="I806" s="25"/>
    </row>
    <row r="807" ht="15.75" customHeight="1">
      <c r="B807" s="13"/>
      <c r="D807" s="16"/>
      <c r="E807" s="16"/>
      <c r="F807" s="19"/>
      <c r="G807" s="20"/>
      <c r="H807" s="24"/>
      <c r="I807" s="25"/>
    </row>
    <row r="808" ht="15.75" customHeight="1">
      <c r="B808" s="13"/>
      <c r="D808" s="16"/>
      <c r="E808" s="16"/>
      <c r="F808" s="19"/>
      <c r="G808" s="20"/>
      <c r="H808" s="24"/>
      <c r="I808" s="25"/>
    </row>
    <row r="809" ht="15.75" customHeight="1">
      <c r="B809" s="13"/>
      <c r="D809" s="16"/>
      <c r="E809" s="16"/>
      <c r="F809" s="19"/>
      <c r="G809" s="20"/>
      <c r="H809" s="24"/>
      <c r="I809" s="25"/>
    </row>
    <row r="810" ht="15.75" customHeight="1">
      <c r="B810" s="13"/>
      <c r="D810" s="16"/>
      <c r="E810" s="16"/>
      <c r="F810" s="19"/>
      <c r="G810" s="20"/>
      <c r="H810" s="24"/>
      <c r="I810" s="25"/>
    </row>
    <row r="811" ht="15.75" customHeight="1">
      <c r="B811" s="13"/>
      <c r="D811" s="16"/>
      <c r="E811" s="16"/>
      <c r="F811" s="19"/>
      <c r="G811" s="20"/>
      <c r="H811" s="24"/>
      <c r="I811" s="25"/>
    </row>
    <row r="812" ht="15.75" customHeight="1">
      <c r="B812" s="13"/>
      <c r="D812" s="16"/>
      <c r="E812" s="16"/>
      <c r="F812" s="19"/>
      <c r="G812" s="20"/>
      <c r="H812" s="24"/>
      <c r="I812" s="25"/>
    </row>
    <row r="813" ht="15.75" customHeight="1">
      <c r="B813" s="13"/>
      <c r="D813" s="16"/>
      <c r="E813" s="16"/>
      <c r="F813" s="19"/>
      <c r="G813" s="20"/>
      <c r="H813" s="24"/>
      <c r="I813" s="25"/>
    </row>
    <row r="814" ht="15.75" customHeight="1">
      <c r="B814" s="13"/>
      <c r="D814" s="16"/>
      <c r="E814" s="16"/>
      <c r="F814" s="19"/>
      <c r="G814" s="20"/>
      <c r="H814" s="24"/>
      <c r="I814" s="25"/>
    </row>
    <row r="815" ht="15.75" customHeight="1">
      <c r="B815" s="13"/>
      <c r="D815" s="16"/>
      <c r="E815" s="16"/>
      <c r="F815" s="19"/>
      <c r="G815" s="20"/>
      <c r="H815" s="24"/>
      <c r="I815" s="25"/>
    </row>
    <row r="816" ht="15.75" customHeight="1">
      <c r="B816" s="13"/>
      <c r="D816" s="16"/>
      <c r="E816" s="16"/>
      <c r="F816" s="19"/>
      <c r="G816" s="20"/>
      <c r="H816" s="24"/>
      <c r="I816" s="25"/>
    </row>
    <row r="817" ht="15.75" customHeight="1">
      <c r="B817" s="13"/>
      <c r="D817" s="16"/>
      <c r="E817" s="16"/>
      <c r="F817" s="19"/>
      <c r="G817" s="20"/>
      <c r="H817" s="24"/>
      <c r="I817" s="25"/>
    </row>
    <row r="818" ht="15.75" customHeight="1">
      <c r="B818" s="13"/>
      <c r="D818" s="16"/>
      <c r="E818" s="16"/>
      <c r="F818" s="19"/>
      <c r="G818" s="20"/>
      <c r="H818" s="24"/>
      <c r="I818" s="25"/>
    </row>
    <row r="819" ht="15.75" customHeight="1">
      <c r="B819" s="13"/>
      <c r="D819" s="16"/>
      <c r="E819" s="16"/>
      <c r="F819" s="19"/>
      <c r="G819" s="20"/>
      <c r="H819" s="24"/>
      <c r="I819" s="25"/>
    </row>
    <row r="820" ht="15.75" customHeight="1">
      <c r="B820" s="13"/>
      <c r="D820" s="16"/>
      <c r="E820" s="16"/>
      <c r="F820" s="19"/>
      <c r="G820" s="20"/>
      <c r="H820" s="24"/>
      <c r="I820" s="25"/>
    </row>
    <row r="821" ht="15.75" customHeight="1">
      <c r="B821" s="13"/>
      <c r="D821" s="16"/>
      <c r="E821" s="16"/>
      <c r="F821" s="19"/>
      <c r="G821" s="20"/>
      <c r="H821" s="24"/>
      <c r="I821" s="25"/>
    </row>
    <row r="822" ht="15.75" customHeight="1">
      <c r="B822" s="13"/>
      <c r="D822" s="16"/>
      <c r="E822" s="16"/>
      <c r="F822" s="19"/>
      <c r="G822" s="20"/>
      <c r="H822" s="24"/>
      <c r="I822" s="25"/>
    </row>
    <row r="823" ht="15.75" customHeight="1">
      <c r="B823" s="13"/>
      <c r="D823" s="16"/>
      <c r="E823" s="16"/>
      <c r="F823" s="19"/>
      <c r="G823" s="20"/>
      <c r="H823" s="24"/>
      <c r="I823" s="25"/>
    </row>
    <row r="824" ht="15.75" customHeight="1">
      <c r="B824" s="13"/>
      <c r="D824" s="16"/>
      <c r="E824" s="16"/>
      <c r="F824" s="19"/>
      <c r="G824" s="20"/>
      <c r="H824" s="24"/>
      <c r="I824" s="25"/>
    </row>
    <row r="825" ht="15.75" customHeight="1">
      <c r="B825" s="13"/>
      <c r="D825" s="16"/>
      <c r="E825" s="16"/>
      <c r="F825" s="19"/>
      <c r="G825" s="20"/>
      <c r="H825" s="24"/>
      <c r="I825" s="25"/>
    </row>
    <row r="826" ht="15.75" customHeight="1">
      <c r="B826" s="13"/>
      <c r="D826" s="16"/>
      <c r="E826" s="16"/>
      <c r="F826" s="19"/>
      <c r="G826" s="20"/>
      <c r="H826" s="24"/>
      <c r="I826" s="25"/>
    </row>
    <row r="827" ht="15.75" customHeight="1">
      <c r="B827" s="13"/>
      <c r="D827" s="16"/>
      <c r="E827" s="16"/>
      <c r="F827" s="19"/>
      <c r="G827" s="20"/>
      <c r="H827" s="24"/>
      <c r="I827" s="25"/>
    </row>
    <row r="828" ht="15.75" customHeight="1">
      <c r="B828" s="13"/>
      <c r="D828" s="16"/>
      <c r="E828" s="16"/>
      <c r="F828" s="19"/>
      <c r="G828" s="20"/>
      <c r="H828" s="24"/>
      <c r="I828" s="25"/>
    </row>
    <row r="829" ht="15.75" customHeight="1">
      <c r="B829" s="13"/>
      <c r="D829" s="16"/>
      <c r="E829" s="16"/>
      <c r="F829" s="19"/>
      <c r="G829" s="20"/>
      <c r="H829" s="24"/>
      <c r="I829" s="25"/>
    </row>
    <row r="830" ht="15.75" customHeight="1">
      <c r="B830" s="13"/>
      <c r="D830" s="16"/>
      <c r="E830" s="16"/>
      <c r="F830" s="19"/>
      <c r="G830" s="20"/>
      <c r="H830" s="24"/>
      <c r="I830" s="25"/>
    </row>
    <row r="831" ht="15.75" customHeight="1">
      <c r="B831" s="13"/>
      <c r="D831" s="16"/>
      <c r="E831" s="16"/>
      <c r="F831" s="19"/>
      <c r="G831" s="20"/>
      <c r="H831" s="24"/>
      <c r="I831" s="25"/>
    </row>
    <row r="832" ht="15.75" customHeight="1">
      <c r="B832" s="13"/>
      <c r="D832" s="16"/>
      <c r="E832" s="16"/>
      <c r="F832" s="19"/>
      <c r="G832" s="20"/>
      <c r="H832" s="24"/>
      <c r="I832" s="25"/>
    </row>
    <row r="833" ht="15.75" customHeight="1">
      <c r="B833" s="13"/>
      <c r="D833" s="16"/>
      <c r="E833" s="16"/>
      <c r="F833" s="19"/>
      <c r="G833" s="20"/>
      <c r="H833" s="24"/>
      <c r="I833" s="25"/>
    </row>
    <row r="834" ht="15.75" customHeight="1">
      <c r="B834" s="13"/>
      <c r="D834" s="16"/>
      <c r="E834" s="16"/>
      <c r="F834" s="19"/>
      <c r="G834" s="20"/>
      <c r="H834" s="24"/>
      <c r="I834" s="25"/>
    </row>
    <row r="835" ht="15.75" customHeight="1">
      <c r="B835" s="13"/>
      <c r="D835" s="16"/>
      <c r="E835" s="16"/>
      <c r="F835" s="19"/>
      <c r="G835" s="20"/>
      <c r="H835" s="24"/>
      <c r="I835" s="25"/>
    </row>
    <row r="836" ht="15.75" customHeight="1">
      <c r="B836" s="13"/>
      <c r="D836" s="16"/>
      <c r="E836" s="16"/>
      <c r="F836" s="19"/>
      <c r="G836" s="20"/>
      <c r="H836" s="24"/>
      <c r="I836" s="25"/>
    </row>
    <row r="837" ht="15.75" customHeight="1">
      <c r="B837" s="13"/>
      <c r="D837" s="16"/>
      <c r="E837" s="16"/>
      <c r="F837" s="19"/>
      <c r="G837" s="20"/>
      <c r="H837" s="24"/>
      <c r="I837" s="25"/>
    </row>
    <row r="838" ht="15.75" customHeight="1">
      <c r="B838" s="13"/>
      <c r="D838" s="16"/>
      <c r="E838" s="16"/>
      <c r="F838" s="19"/>
      <c r="G838" s="20"/>
      <c r="H838" s="24"/>
      <c r="I838" s="25"/>
    </row>
    <row r="839" ht="15.75" customHeight="1">
      <c r="B839" s="13"/>
      <c r="D839" s="16"/>
      <c r="E839" s="16"/>
      <c r="F839" s="19"/>
      <c r="G839" s="20"/>
      <c r="H839" s="24"/>
      <c r="I839" s="25"/>
    </row>
    <row r="840" ht="15.75" customHeight="1">
      <c r="B840" s="13"/>
      <c r="D840" s="16"/>
      <c r="E840" s="16"/>
      <c r="F840" s="19"/>
      <c r="G840" s="20"/>
      <c r="H840" s="24"/>
      <c r="I840" s="25"/>
    </row>
    <row r="841" ht="15.75" customHeight="1">
      <c r="B841" s="13"/>
      <c r="D841" s="16"/>
      <c r="E841" s="16"/>
      <c r="F841" s="19"/>
      <c r="G841" s="20"/>
      <c r="H841" s="24"/>
      <c r="I841" s="25"/>
    </row>
    <row r="842" ht="15.75" customHeight="1">
      <c r="B842" s="13"/>
      <c r="D842" s="16"/>
      <c r="E842" s="16"/>
      <c r="F842" s="19"/>
      <c r="G842" s="20"/>
      <c r="H842" s="24"/>
      <c r="I842" s="25"/>
    </row>
    <row r="843" ht="15.75" customHeight="1">
      <c r="B843" s="13"/>
      <c r="D843" s="16"/>
      <c r="E843" s="16"/>
      <c r="F843" s="19"/>
      <c r="G843" s="20"/>
      <c r="H843" s="24"/>
      <c r="I843" s="25"/>
    </row>
    <row r="844" ht="15.75" customHeight="1">
      <c r="B844" s="13"/>
      <c r="D844" s="16"/>
      <c r="E844" s="16"/>
      <c r="F844" s="19"/>
      <c r="G844" s="20"/>
      <c r="H844" s="24"/>
      <c r="I844" s="25"/>
    </row>
    <row r="845" ht="15.75" customHeight="1">
      <c r="B845" s="13"/>
      <c r="D845" s="16"/>
      <c r="E845" s="16"/>
      <c r="F845" s="19"/>
      <c r="G845" s="20"/>
      <c r="H845" s="24"/>
      <c r="I845" s="25"/>
    </row>
    <row r="846" ht="15.75" customHeight="1">
      <c r="B846" s="13"/>
      <c r="D846" s="16"/>
      <c r="E846" s="16"/>
      <c r="F846" s="19"/>
      <c r="G846" s="20"/>
      <c r="H846" s="24"/>
      <c r="I846" s="25"/>
    </row>
    <row r="847" ht="15.75" customHeight="1">
      <c r="B847" s="13"/>
      <c r="D847" s="16"/>
      <c r="E847" s="16"/>
      <c r="F847" s="19"/>
      <c r="G847" s="20"/>
      <c r="H847" s="24"/>
      <c r="I847" s="25"/>
    </row>
    <row r="848" ht="15.75" customHeight="1">
      <c r="B848" s="13"/>
      <c r="D848" s="16"/>
      <c r="E848" s="16"/>
      <c r="F848" s="19"/>
      <c r="G848" s="20"/>
      <c r="H848" s="24"/>
      <c r="I848" s="25"/>
    </row>
    <row r="849" ht="15.75" customHeight="1">
      <c r="B849" s="13"/>
      <c r="D849" s="16"/>
      <c r="E849" s="16"/>
      <c r="F849" s="19"/>
      <c r="G849" s="20"/>
      <c r="H849" s="24"/>
      <c r="I849" s="25"/>
    </row>
    <row r="850" ht="15.75" customHeight="1">
      <c r="B850" s="13"/>
      <c r="D850" s="16"/>
      <c r="E850" s="16"/>
      <c r="F850" s="19"/>
      <c r="G850" s="20"/>
      <c r="H850" s="24"/>
      <c r="I850" s="25"/>
    </row>
    <row r="851" ht="15.75" customHeight="1">
      <c r="B851" s="13"/>
      <c r="D851" s="16"/>
      <c r="E851" s="16"/>
      <c r="F851" s="19"/>
      <c r="G851" s="20"/>
      <c r="H851" s="24"/>
      <c r="I851" s="25"/>
    </row>
    <row r="852" ht="15.75" customHeight="1">
      <c r="B852" s="13"/>
      <c r="D852" s="16"/>
      <c r="E852" s="16"/>
      <c r="F852" s="19"/>
      <c r="G852" s="20"/>
      <c r="H852" s="24"/>
      <c r="I852" s="25"/>
    </row>
    <row r="853" ht="15.75" customHeight="1">
      <c r="B853" s="13"/>
      <c r="D853" s="16"/>
      <c r="E853" s="16"/>
      <c r="F853" s="19"/>
      <c r="G853" s="20"/>
      <c r="H853" s="24"/>
      <c r="I853" s="25"/>
    </row>
    <row r="854" ht="15.75" customHeight="1">
      <c r="B854" s="13"/>
      <c r="D854" s="16"/>
      <c r="E854" s="16"/>
      <c r="F854" s="19"/>
      <c r="G854" s="20"/>
      <c r="H854" s="24"/>
      <c r="I854" s="25"/>
    </row>
    <row r="855" ht="15.75" customHeight="1">
      <c r="B855" s="13"/>
      <c r="D855" s="16"/>
      <c r="E855" s="16"/>
      <c r="F855" s="19"/>
      <c r="G855" s="20"/>
      <c r="H855" s="24"/>
      <c r="I855" s="25"/>
    </row>
    <row r="856" ht="15.75" customHeight="1">
      <c r="B856" s="13"/>
      <c r="D856" s="16"/>
      <c r="E856" s="16"/>
      <c r="F856" s="19"/>
      <c r="G856" s="20"/>
      <c r="H856" s="24"/>
      <c r="I856" s="25"/>
    </row>
    <row r="857" ht="15.75" customHeight="1">
      <c r="B857" s="13"/>
      <c r="D857" s="16"/>
      <c r="E857" s="16"/>
      <c r="F857" s="19"/>
      <c r="G857" s="20"/>
      <c r="H857" s="24"/>
      <c r="I857" s="25"/>
    </row>
    <row r="858" ht="15.75" customHeight="1">
      <c r="B858" s="13"/>
      <c r="D858" s="16"/>
      <c r="E858" s="16"/>
      <c r="F858" s="19"/>
      <c r="G858" s="20"/>
      <c r="H858" s="24"/>
      <c r="I858" s="25"/>
    </row>
    <row r="859" ht="15.75" customHeight="1">
      <c r="B859" s="13"/>
      <c r="D859" s="16"/>
      <c r="E859" s="16"/>
      <c r="F859" s="19"/>
      <c r="G859" s="20"/>
      <c r="H859" s="24"/>
      <c r="I859" s="25"/>
    </row>
    <row r="860" ht="15.75" customHeight="1">
      <c r="B860" s="13"/>
      <c r="D860" s="16"/>
      <c r="E860" s="16"/>
      <c r="F860" s="19"/>
      <c r="G860" s="20"/>
      <c r="H860" s="24"/>
      <c r="I860" s="25"/>
    </row>
    <row r="861" ht="15.75" customHeight="1">
      <c r="B861" s="13"/>
      <c r="D861" s="16"/>
      <c r="E861" s="16"/>
      <c r="F861" s="19"/>
      <c r="G861" s="20"/>
      <c r="H861" s="24"/>
      <c r="I861" s="25"/>
    </row>
    <row r="862" ht="15.75" customHeight="1">
      <c r="B862" s="13"/>
      <c r="D862" s="16"/>
      <c r="E862" s="16"/>
      <c r="F862" s="19"/>
      <c r="G862" s="20"/>
      <c r="H862" s="24"/>
      <c r="I862" s="25"/>
    </row>
    <row r="863" ht="15.75" customHeight="1">
      <c r="B863" s="13"/>
      <c r="D863" s="16"/>
      <c r="E863" s="16"/>
      <c r="F863" s="19"/>
      <c r="G863" s="20"/>
      <c r="H863" s="24"/>
      <c r="I863" s="25"/>
    </row>
    <row r="864" ht="15.75" customHeight="1">
      <c r="B864" s="13"/>
      <c r="D864" s="16"/>
      <c r="E864" s="16"/>
      <c r="F864" s="19"/>
      <c r="G864" s="20"/>
      <c r="H864" s="24"/>
      <c r="I864" s="25"/>
    </row>
    <row r="865" ht="15.75" customHeight="1">
      <c r="B865" s="13"/>
      <c r="D865" s="16"/>
      <c r="E865" s="16"/>
      <c r="F865" s="19"/>
      <c r="G865" s="20"/>
      <c r="H865" s="24"/>
      <c r="I865" s="25"/>
    </row>
    <row r="866" ht="15.75" customHeight="1">
      <c r="B866" s="13"/>
      <c r="D866" s="16"/>
      <c r="E866" s="16"/>
      <c r="F866" s="19"/>
      <c r="G866" s="20"/>
      <c r="H866" s="24"/>
      <c r="I866" s="25"/>
    </row>
    <row r="867" ht="15.75" customHeight="1">
      <c r="B867" s="13"/>
      <c r="D867" s="16"/>
      <c r="E867" s="16"/>
      <c r="F867" s="19"/>
      <c r="G867" s="20"/>
      <c r="H867" s="24"/>
      <c r="I867" s="25"/>
    </row>
    <row r="868" ht="15.75" customHeight="1">
      <c r="B868" s="13"/>
      <c r="D868" s="16"/>
      <c r="E868" s="16"/>
      <c r="F868" s="19"/>
      <c r="G868" s="20"/>
      <c r="H868" s="24"/>
      <c r="I868" s="25"/>
    </row>
    <row r="869" ht="15.75" customHeight="1">
      <c r="B869" s="13"/>
      <c r="D869" s="16"/>
      <c r="E869" s="16"/>
      <c r="F869" s="19"/>
      <c r="G869" s="20"/>
      <c r="H869" s="24"/>
      <c r="I869" s="25"/>
    </row>
    <row r="870" ht="15.75" customHeight="1">
      <c r="B870" s="13"/>
      <c r="D870" s="16"/>
      <c r="E870" s="16"/>
      <c r="F870" s="19"/>
      <c r="G870" s="20"/>
      <c r="H870" s="24"/>
      <c r="I870" s="25"/>
    </row>
    <row r="871" ht="15.75" customHeight="1">
      <c r="B871" s="13"/>
      <c r="D871" s="16"/>
      <c r="E871" s="16"/>
      <c r="F871" s="19"/>
      <c r="G871" s="20"/>
      <c r="H871" s="24"/>
      <c r="I871" s="25"/>
    </row>
    <row r="872" ht="15.75" customHeight="1">
      <c r="B872" s="13"/>
      <c r="D872" s="16"/>
      <c r="E872" s="16"/>
      <c r="F872" s="19"/>
      <c r="G872" s="20"/>
      <c r="H872" s="24"/>
      <c r="I872" s="25"/>
    </row>
    <row r="873" ht="15.75" customHeight="1">
      <c r="B873" s="13"/>
      <c r="D873" s="16"/>
      <c r="E873" s="16"/>
      <c r="F873" s="19"/>
      <c r="G873" s="20"/>
      <c r="H873" s="24"/>
      <c r="I873" s="25"/>
    </row>
    <row r="874" ht="15.75" customHeight="1">
      <c r="B874" s="13"/>
      <c r="D874" s="16"/>
      <c r="E874" s="16"/>
      <c r="F874" s="19"/>
      <c r="G874" s="20"/>
      <c r="H874" s="24"/>
      <c r="I874" s="25"/>
    </row>
    <row r="875" ht="15.75" customHeight="1">
      <c r="B875" s="13"/>
      <c r="D875" s="16"/>
      <c r="E875" s="16"/>
      <c r="F875" s="19"/>
      <c r="G875" s="20"/>
      <c r="H875" s="24"/>
      <c r="I875" s="25"/>
    </row>
    <row r="876" ht="15.75" customHeight="1">
      <c r="B876" s="13"/>
      <c r="D876" s="16"/>
      <c r="E876" s="16"/>
      <c r="F876" s="19"/>
      <c r="G876" s="20"/>
      <c r="H876" s="24"/>
      <c r="I876" s="25"/>
    </row>
    <row r="877" ht="15.75" customHeight="1">
      <c r="B877" s="13"/>
      <c r="D877" s="16"/>
      <c r="E877" s="16"/>
      <c r="F877" s="19"/>
      <c r="G877" s="20"/>
      <c r="H877" s="24"/>
      <c r="I877" s="25"/>
    </row>
    <row r="878" ht="15.75" customHeight="1">
      <c r="B878" s="13"/>
      <c r="D878" s="16"/>
      <c r="E878" s="16"/>
      <c r="F878" s="19"/>
      <c r="G878" s="20"/>
      <c r="H878" s="24"/>
      <c r="I878" s="25"/>
    </row>
    <row r="879" ht="15.75" customHeight="1">
      <c r="B879" s="13"/>
      <c r="D879" s="16"/>
      <c r="E879" s="16"/>
      <c r="F879" s="19"/>
      <c r="G879" s="20"/>
      <c r="H879" s="24"/>
      <c r="I879" s="25"/>
    </row>
    <row r="880" ht="15.75" customHeight="1">
      <c r="B880" s="13"/>
      <c r="D880" s="16"/>
      <c r="E880" s="16"/>
      <c r="F880" s="19"/>
      <c r="G880" s="20"/>
      <c r="H880" s="24"/>
      <c r="I880" s="25"/>
    </row>
    <row r="881" ht="15.75" customHeight="1">
      <c r="B881" s="13"/>
      <c r="D881" s="16"/>
      <c r="E881" s="16"/>
      <c r="F881" s="19"/>
      <c r="G881" s="20"/>
      <c r="H881" s="24"/>
      <c r="I881" s="25"/>
    </row>
    <row r="882" ht="15.75" customHeight="1">
      <c r="B882" s="13"/>
      <c r="D882" s="16"/>
      <c r="E882" s="16"/>
      <c r="F882" s="19"/>
      <c r="G882" s="20"/>
      <c r="H882" s="24"/>
      <c r="I882" s="25"/>
    </row>
    <row r="883" ht="15.75" customHeight="1">
      <c r="B883" s="13"/>
      <c r="D883" s="16"/>
      <c r="E883" s="16"/>
      <c r="F883" s="19"/>
      <c r="G883" s="20"/>
      <c r="H883" s="24"/>
      <c r="I883" s="25"/>
    </row>
    <row r="884" ht="15.75" customHeight="1">
      <c r="B884" s="13"/>
      <c r="D884" s="16"/>
      <c r="E884" s="16"/>
      <c r="F884" s="19"/>
      <c r="G884" s="20"/>
      <c r="H884" s="24"/>
      <c r="I884" s="25"/>
    </row>
    <row r="885" ht="15.75" customHeight="1">
      <c r="B885" s="13"/>
      <c r="D885" s="16"/>
      <c r="E885" s="16"/>
      <c r="F885" s="19"/>
      <c r="G885" s="20"/>
      <c r="H885" s="24"/>
      <c r="I885" s="25"/>
    </row>
    <row r="886" ht="15.75" customHeight="1">
      <c r="B886" s="13"/>
      <c r="D886" s="16"/>
      <c r="E886" s="16"/>
      <c r="F886" s="19"/>
      <c r="G886" s="20"/>
      <c r="H886" s="24"/>
      <c r="I886" s="25"/>
    </row>
    <row r="887" ht="15.75" customHeight="1">
      <c r="B887" s="13"/>
      <c r="D887" s="16"/>
      <c r="E887" s="16"/>
      <c r="F887" s="19"/>
      <c r="G887" s="20"/>
      <c r="H887" s="24"/>
      <c r="I887" s="25"/>
    </row>
    <row r="888" ht="15.75" customHeight="1">
      <c r="B888" s="13"/>
      <c r="D888" s="16"/>
      <c r="E888" s="16"/>
      <c r="F888" s="19"/>
      <c r="G888" s="20"/>
      <c r="H888" s="24"/>
      <c r="I888" s="25"/>
    </row>
    <row r="889" ht="15.75" customHeight="1">
      <c r="B889" s="13"/>
      <c r="D889" s="16"/>
      <c r="E889" s="16"/>
      <c r="F889" s="19"/>
      <c r="G889" s="20"/>
      <c r="H889" s="24"/>
      <c r="I889" s="25"/>
    </row>
    <row r="890" ht="15.75" customHeight="1">
      <c r="B890" s="13"/>
      <c r="D890" s="16"/>
      <c r="E890" s="16"/>
      <c r="F890" s="19"/>
      <c r="G890" s="20"/>
      <c r="H890" s="24"/>
      <c r="I890" s="25"/>
    </row>
    <row r="891" ht="15.75" customHeight="1">
      <c r="B891" s="13"/>
      <c r="D891" s="16"/>
      <c r="E891" s="16"/>
      <c r="F891" s="19"/>
      <c r="G891" s="20"/>
      <c r="H891" s="24"/>
      <c r="I891" s="25"/>
    </row>
    <row r="892" ht="15.75" customHeight="1">
      <c r="B892" s="13"/>
      <c r="D892" s="16"/>
      <c r="E892" s="16"/>
      <c r="F892" s="19"/>
      <c r="G892" s="20"/>
      <c r="H892" s="24"/>
      <c r="I892" s="25"/>
    </row>
    <row r="893" ht="15.75" customHeight="1">
      <c r="B893" s="13"/>
      <c r="D893" s="16"/>
      <c r="E893" s="16"/>
      <c r="F893" s="19"/>
      <c r="G893" s="20"/>
      <c r="H893" s="24"/>
      <c r="I893" s="25"/>
    </row>
    <row r="894" ht="15.75" customHeight="1">
      <c r="B894" s="13"/>
      <c r="D894" s="16"/>
      <c r="E894" s="16"/>
      <c r="F894" s="19"/>
      <c r="G894" s="20"/>
      <c r="H894" s="24"/>
      <c r="I894" s="25"/>
    </row>
    <row r="895" ht="15.75" customHeight="1">
      <c r="B895" s="13"/>
      <c r="D895" s="16"/>
      <c r="E895" s="16"/>
      <c r="F895" s="19"/>
      <c r="G895" s="20"/>
      <c r="H895" s="24"/>
      <c r="I895" s="25"/>
    </row>
    <row r="896" ht="15.75" customHeight="1">
      <c r="B896" s="13"/>
      <c r="D896" s="16"/>
      <c r="E896" s="16"/>
      <c r="F896" s="19"/>
      <c r="G896" s="20"/>
      <c r="H896" s="24"/>
      <c r="I896" s="25"/>
    </row>
    <row r="897" ht="15.75" customHeight="1">
      <c r="B897" s="13"/>
      <c r="D897" s="16"/>
      <c r="E897" s="16"/>
      <c r="F897" s="19"/>
      <c r="G897" s="20"/>
      <c r="H897" s="24"/>
      <c r="I897" s="25"/>
    </row>
    <row r="898" ht="15.75" customHeight="1">
      <c r="B898" s="13"/>
      <c r="D898" s="16"/>
      <c r="E898" s="16"/>
      <c r="F898" s="19"/>
      <c r="G898" s="20"/>
      <c r="H898" s="24"/>
      <c r="I898" s="25"/>
    </row>
    <row r="899" ht="15.75" customHeight="1">
      <c r="B899" s="13"/>
      <c r="D899" s="16"/>
      <c r="E899" s="16"/>
      <c r="F899" s="19"/>
      <c r="G899" s="20"/>
      <c r="H899" s="24"/>
      <c r="I899" s="25"/>
    </row>
    <row r="900" ht="15.75" customHeight="1">
      <c r="B900" s="13"/>
      <c r="D900" s="16"/>
      <c r="E900" s="16"/>
      <c r="F900" s="19"/>
      <c r="G900" s="20"/>
      <c r="H900" s="24"/>
      <c r="I900" s="25"/>
    </row>
    <row r="901" ht="15.75" customHeight="1">
      <c r="B901" s="13"/>
      <c r="D901" s="16"/>
      <c r="E901" s="16"/>
      <c r="F901" s="19"/>
      <c r="G901" s="20"/>
      <c r="H901" s="24"/>
      <c r="I901" s="25"/>
    </row>
    <row r="902" ht="15.75" customHeight="1">
      <c r="B902" s="13"/>
      <c r="D902" s="16"/>
      <c r="E902" s="16"/>
      <c r="F902" s="19"/>
      <c r="G902" s="20"/>
      <c r="H902" s="24"/>
      <c r="I902" s="25"/>
    </row>
    <row r="903" ht="15.75" customHeight="1">
      <c r="B903" s="13"/>
      <c r="D903" s="16"/>
      <c r="E903" s="16"/>
      <c r="F903" s="19"/>
      <c r="G903" s="20"/>
      <c r="H903" s="24"/>
      <c r="I903" s="25"/>
    </row>
    <row r="904" ht="15.75" customHeight="1">
      <c r="B904" s="13"/>
      <c r="D904" s="16"/>
      <c r="E904" s="16"/>
      <c r="F904" s="19"/>
      <c r="G904" s="20"/>
      <c r="H904" s="24"/>
      <c r="I904" s="25"/>
    </row>
    <row r="905" ht="15.75" customHeight="1">
      <c r="B905" s="13"/>
      <c r="D905" s="16"/>
      <c r="E905" s="16"/>
      <c r="F905" s="19"/>
      <c r="G905" s="20"/>
      <c r="H905" s="24"/>
      <c r="I905" s="25"/>
    </row>
    <row r="906" ht="15.75" customHeight="1">
      <c r="B906" s="13"/>
      <c r="D906" s="16"/>
      <c r="E906" s="16"/>
      <c r="F906" s="19"/>
      <c r="G906" s="20"/>
      <c r="H906" s="24"/>
      <c r="I906" s="25"/>
    </row>
    <row r="907" ht="15.75" customHeight="1">
      <c r="B907" s="13"/>
      <c r="D907" s="16"/>
      <c r="E907" s="16"/>
      <c r="F907" s="19"/>
      <c r="G907" s="20"/>
      <c r="H907" s="24"/>
      <c r="I907" s="25"/>
    </row>
    <row r="908" ht="15.75" customHeight="1">
      <c r="B908" s="13"/>
      <c r="D908" s="16"/>
      <c r="E908" s="16"/>
      <c r="F908" s="19"/>
      <c r="G908" s="20"/>
      <c r="H908" s="24"/>
      <c r="I908" s="25"/>
    </row>
    <row r="909" ht="15.75" customHeight="1">
      <c r="B909" s="13"/>
      <c r="D909" s="16"/>
      <c r="E909" s="16"/>
      <c r="F909" s="19"/>
      <c r="G909" s="20"/>
      <c r="H909" s="24"/>
      <c r="I909" s="25"/>
    </row>
    <row r="910" ht="15.75" customHeight="1">
      <c r="B910" s="13"/>
      <c r="D910" s="16"/>
      <c r="E910" s="16"/>
      <c r="F910" s="19"/>
      <c r="G910" s="20"/>
      <c r="H910" s="24"/>
      <c r="I910" s="25"/>
    </row>
    <row r="911" ht="15.75" customHeight="1">
      <c r="B911" s="13"/>
      <c r="D911" s="16"/>
      <c r="E911" s="16"/>
      <c r="F911" s="19"/>
      <c r="G911" s="20"/>
      <c r="H911" s="24"/>
      <c r="I911" s="25"/>
    </row>
    <row r="912" ht="15.75" customHeight="1">
      <c r="B912" s="13"/>
      <c r="D912" s="16"/>
      <c r="E912" s="16"/>
      <c r="F912" s="19"/>
      <c r="G912" s="20"/>
      <c r="H912" s="24"/>
      <c r="I912" s="25"/>
    </row>
    <row r="913" ht="15.75" customHeight="1">
      <c r="B913" s="13"/>
      <c r="D913" s="16"/>
      <c r="E913" s="16"/>
      <c r="F913" s="19"/>
      <c r="G913" s="20"/>
      <c r="H913" s="24"/>
      <c r="I913" s="25"/>
    </row>
    <row r="914" ht="15.75" customHeight="1">
      <c r="B914" s="13"/>
      <c r="D914" s="16"/>
      <c r="E914" s="16"/>
      <c r="F914" s="19"/>
      <c r="G914" s="20"/>
      <c r="H914" s="24"/>
      <c r="I914" s="25"/>
    </row>
    <row r="915" ht="15.75" customHeight="1">
      <c r="B915" s="13"/>
      <c r="D915" s="16"/>
      <c r="E915" s="16"/>
      <c r="F915" s="19"/>
      <c r="G915" s="20"/>
      <c r="H915" s="24"/>
      <c r="I915" s="25"/>
    </row>
    <row r="916" ht="15.75" customHeight="1">
      <c r="B916" s="13"/>
      <c r="D916" s="16"/>
      <c r="E916" s="16"/>
      <c r="F916" s="19"/>
      <c r="G916" s="20"/>
      <c r="H916" s="24"/>
      <c r="I916" s="25"/>
    </row>
    <row r="917" ht="15.75" customHeight="1">
      <c r="B917" s="13"/>
      <c r="D917" s="16"/>
      <c r="E917" s="16"/>
      <c r="F917" s="19"/>
      <c r="G917" s="20"/>
      <c r="H917" s="24"/>
      <c r="I917" s="25"/>
    </row>
    <row r="918" ht="15.75" customHeight="1">
      <c r="B918" s="13"/>
      <c r="D918" s="16"/>
      <c r="E918" s="16"/>
      <c r="F918" s="19"/>
      <c r="G918" s="20"/>
      <c r="H918" s="24"/>
      <c r="I918" s="25"/>
    </row>
    <row r="919" ht="15.75" customHeight="1">
      <c r="B919" s="13"/>
      <c r="D919" s="16"/>
      <c r="E919" s="16"/>
      <c r="F919" s="19"/>
      <c r="G919" s="20"/>
      <c r="H919" s="24"/>
      <c r="I919" s="25"/>
    </row>
    <row r="920" ht="15.75" customHeight="1">
      <c r="B920" s="13"/>
      <c r="D920" s="16"/>
      <c r="E920" s="16"/>
      <c r="F920" s="19"/>
      <c r="G920" s="20"/>
      <c r="H920" s="24"/>
      <c r="I920" s="25"/>
    </row>
    <row r="921" ht="15.75" customHeight="1">
      <c r="B921" s="13"/>
      <c r="D921" s="16"/>
      <c r="E921" s="16"/>
      <c r="F921" s="19"/>
      <c r="G921" s="20"/>
      <c r="H921" s="24"/>
      <c r="I921" s="25"/>
    </row>
    <row r="922" ht="15.75" customHeight="1">
      <c r="B922" s="13"/>
      <c r="D922" s="16"/>
      <c r="E922" s="16"/>
      <c r="F922" s="19"/>
      <c r="G922" s="20"/>
      <c r="H922" s="24"/>
      <c r="I922" s="25"/>
    </row>
    <row r="923" ht="15.75" customHeight="1">
      <c r="B923" s="13"/>
      <c r="D923" s="16"/>
      <c r="E923" s="16"/>
      <c r="F923" s="19"/>
      <c r="G923" s="20"/>
      <c r="H923" s="24"/>
      <c r="I923" s="25"/>
    </row>
    <row r="924" ht="15.75" customHeight="1">
      <c r="B924" s="13"/>
      <c r="D924" s="16"/>
      <c r="E924" s="16"/>
      <c r="F924" s="19"/>
      <c r="G924" s="20"/>
      <c r="H924" s="24"/>
      <c r="I924" s="25"/>
    </row>
    <row r="925" ht="15.75" customHeight="1">
      <c r="B925" s="13"/>
      <c r="D925" s="16"/>
      <c r="E925" s="16"/>
      <c r="F925" s="19"/>
      <c r="G925" s="20"/>
      <c r="H925" s="24"/>
      <c r="I925" s="25"/>
    </row>
    <row r="926" ht="15.75" customHeight="1">
      <c r="B926" s="13"/>
      <c r="D926" s="16"/>
      <c r="E926" s="16"/>
      <c r="F926" s="19"/>
      <c r="G926" s="20"/>
      <c r="H926" s="24"/>
      <c r="I926" s="25"/>
    </row>
    <row r="927" ht="15.75" customHeight="1">
      <c r="B927" s="13"/>
      <c r="D927" s="16"/>
      <c r="E927" s="16"/>
      <c r="F927" s="19"/>
      <c r="G927" s="20"/>
      <c r="H927" s="24"/>
      <c r="I927" s="25"/>
    </row>
    <row r="928" ht="15.75" customHeight="1">
      <c r="B928" s="13"/>
      <c r="D928" s="16"/>
      <c r="E928" s="16"/>
      <c r="F928" s="19"/>
      <c r="G928" s="20"/>
      <c r="H928" s="24"/>
      <c r="I928" s="25"/>
    </row>
    <row r="929" ht="15.75" customHeight="1">
      <c r="B929" s="13"/>
      <c r="D929" s="16"/>
      <c r="E929" s="16"/>
      <c r="F929" s="19"/>
      <c r="G929" s="20"/>
      <c r="H929" s="24"/>
      <c r="I929" s="25"/>
    </row>
    <row r="930" ht="15.75" customHeight="1">
      <c r="B930" s="13"/>
      <c r="D930" s="16"/>
      <c r="E930" s="16"/>
      <c r="F930" s="19"/>
      <c r="G930" s="20"/>
      <c r="H930" s="24"/>
      <c r="I930" s="25"/>
    </row>
    <row r="931" ht="15.75" customHeight="1">
      <c r="B931" s="13"/>
      <c r="D931" s="16"/>
      <c r="E931" s="16"/>
      <c r="F931" s="19"/>
      <c r="G931" s="20"/>
      <c r="H931" s="24"/>
      <c r="I931" s="25"/>
    </row>
    <row r="932" ht="15.75" customHeight="1">
      <c r="B932" s="13"/>
      <c r="D932" s="16"/>
      <c r="E932" s="16"/>
      <c r="F932" s="19"/>
      <c r="G932" s="20"/>
      <c r="H932" s="24"/>
      <c r="I932" s="25"/>
    </row>
    <row r="933" ht="15.75" customHeight="1">
      <c r="B933" s="13"/>
      <c r="D933" s="16"/>
      <c r="E933" s="16"/>
      <c r="F933" s="19"/>
      <c r="G933" s="20"/>
      <c r="H933" s="24"/>
      <c r="I933" s="25"/>
    </row>
    <row r="934" ht="15.75" customHeight="1">
      <c r="B934" s="13"/>
      <c r="D934" s="16"/>
      <c r="E934" s="16"/>
      <c r="F934" s="19"/>
      <c r="G934" s="20"/>
      <c r="H934" s="24"/>
      <c r="I934" s="25"/>
    </row>
    <row r="935" ht="15.75" customHeight="1">
      <c r="B935" s="13"/>
      <c r="D935" s="16"/>
      <c r="E935" s="16"/>
      <c r="F935" s="19"/>
      <c r="G935" s="20"/>
      <c r="H935" s="24"/>
      <c r="I935" s="25"/>
    </row>
    <row r="936" ht="15.75" customHeight="1">
      <c r="B936" s="13"/>
      <c r="D936" s="16"/>
      <c r="E936" s="16"/>
      <c r="F936" s="19"/>
      <c r="G936" s="20"/>
      <c r="H936" s="24"/>
      <c r="I936" s="25"/>
    </row>
    <row r="937" ht="15.75" customHeight="1">
      <c r="B937" s="13"/>
      <c r="D937" s="16"/>
      <c r="E937" s="16"/>
      <c r="F937" s="19"/>
      <c r="G937" s="20"/>
      <c r="H937" s="24"/>
      <c r="I937" s="25"/>
    </row>
    <row r="938" ht="15.75" customHeight="1">
      <c r="B938" s="13"/>
      <c r="D938" s="16"/>
      <c r="E938" s="16"/>
      <c r="F938" s="19"/>
      <c r="G938" s="20"/>
      <c r="H938" s="24"/>
      <c r="I938" s="25"/>
    </row>
    <row r="939" ht="15.75" customHeight="1">
      <c r="B939" s="13"/>
      <c r="D939" s="16"/>
      <c r="E939" s="16"/>
      <c r="F939" s="19"/>
      <c r="G939" s="20"/>
      <c r="H939" s="24"/>
      <c r="I939" s="25"/>
    </row>
    <row r="940" ht="15.75" customHeight="1">
      <c r="B940" s="13"/>
      <c r="D940" s="16"/>
      <c r="E940" s="16"/>
      <c r="F940" s="19"/>
      <c r="G940" s="20"/>
      <c r="H940" s="24"/>
      <c r="I940" s="25"/>
    </row>
    <row r="941" ht="15.75" customHeight="1">
      <c r="B941" s="13"/>
      <c r="D941" s="16"/>
      <c r="E941" s="16"/>
      <c r="F941" s="19"/>
      <c r="G941" s="20"/>
      <c r="H941" s="24"/>
      <c r="I941" s="25"/>
    </row>
    <row r="942" ht="15.75" customHeight="1">
      <c r="B942" s="13"/>
      <c r="D942" s="16"/>
      <c r="E942" s="16"/>
      <c r="F942" s="19"/>
      <c r="G942" s="20"/>
      <c r="H942" s="24"/>
      <c r="I942" s="25"/>
    </row>
    <row r="943" ht="15.75" customHeight="1">
      <c r="B943" s="13"/>
      <c r="D943" s="16"/>
      <c r="E943" s="16"/>
      <c r="F943" s="19"/>
      <c r="G943" s="20"/>
      <c r="H943" s="24"/>
      <c r="I943" s="25"/>
    </row>
    <row r="944" ht="15.75" customHeight="1">
      <c r="B944" s="13"/>
      <c r="D944" s="16"/>
      <c r="E944" s="16"/>
      <c r="F944" s="19"/>
      <c r="G944" s="20"/>
      <c r="H944" s="24"/>
      <c r="I944" s="25"/>
    </row>
    <row r="945" ht="15.75" customHeight="1">
      <c r="B945" s="13"/>
      <c r="D945" s="16"/>
      <c r="E945" s="16"/>
      <c r="F945" s="19"/>
      <c r="G945" s="20"/>
      <c r="H945" s="24"/>
      <c r="I945" s="25"/>
    </row>
    <row r="946" ht="15.75" customHeight="1">
      <c r="B946" s="13"/>
      <c r="D946" s="16"/>
      <c r="E946" s="16"/>
      <c r="F946" s="19"/>
      <c r="G946" s="20"/>
      <c r="H946" s="24"/>
      <c r="I946" s="25"/>
    </row>
    <row r="947" ht="15.75" customHeight="1">
      <c r="B947" s="13"/>
      <c r="D947" s="16"/>
      <c r="E947" s="16"/>
      <c r="F947" s="19"/>
      <c r="G947" s="20"/>
      <c r="H947" s="24"/>
      <c r="I947" s="25"/>
    </row>
    <row r="948" ht="15.75" customHeight="1">
      <c r="B948" s="13"/>
      <c r="D948" s="16"/>
      <c r="E948" s="16"/>
      <c r="F948" s="19"/>
      <c r="G948" s="20"/>
      <c r="H948" s="24"/>
      <c r="I948" s="25"/>
    </row>
    <row r="949" ht="15.75" customHeight="1">
      <c r="B949" s="13"/>
      <c r="D949" s="16"/>
      <c r="E949" s="16"/>
      <c r="F949" s="19"/>
      <c r="G949" s="20"/>
      <c r="H949" s="24"/>
      <c r="I949" s="25"/>
    </row>
    <row r="950" ht="15.75" customHeight="1">
      <c r="B950" s="13"/>
      <c r="D950" s="16"/>
      <c r="E950" s="16"/>
      <c r="F950" s="19"/>
      <c r="G950" s="20"/>
      <c r="H950" s="24"/>
      <c r="I950" s="25"/>
    </row>
    <row r="951" ht="15.75" customHeight="1">
      <c r="B951" s="13"/>
      <c r="D951" s="16"/>
      <c r="E951" s="16"/>
      <c r="F951" s="19"/>
      <c r="G951" s="20"/>
      <c r="H951" s="24"/>
      <c r="I951" s="25"/>
    </row>
    <row r="952" ht="15.75" customHeight="1">
      <c r="B952" s="13"/>
      <c r="D952" s="16"/>
      <c r="E952" s="16"/>
      <c r="F952" s="19"/>
      <c r="G952" s="20"/>
      <c r="H952" s="24"/>
      <c r="I952" s="25"/>
    </row>
    <row r="953" ht="15.75" customHeight="1">
      <c r="B953" s="13"/>
      <c r="D953" s="16"/>
      <c r="E953" s="16"/>
      <c r="F953" s="19"/>
      <c r="G953" s="20"/>
      <c r="H953" s="24"/>
      <c r="I953" s="25"/>
    </row>
    <row r="954" ht="15.75" customHeight="1">
      <c r="B954" s="13"/>
      <c r="D954" s="16"/>
      <c r="E954" s="16"/>
      <c r="F954" s="19"/>
      <c r="G954" s="20"/>
      <c r="H954" s="24"/>
      <c r="I954" s="25"/>
    </row>
    <row r="955" ht="15.75" customHeight="1">
      <c r="B955" s="13"/>
      <c r="D955" s="16"/>
      <c r="E955" s="16"/>
      <c r="F955" s="19"/>
      <c r="G955" s="20"/>
      <c r="H955" s="24"/>
      <c r="I955" s="25"/>
    </row>
    <row r="956" ht="15.75" customHeight="1">
      <c r="B956" s="13"/>
      <c r="D956" s="16"/>
      <c r="E956" s="16"/>
      <c r="F956" s="19"/>
      <c r="G956" s="20"/>
      <c r="H956" s="24"/>
      <c r="I956" s="25"/>
    </row>
    <row r="957" ht="15.75" customHeight="1">
      <c r="B957" s="13"/>
      <c r="D957" s="16"/>
      <c r="E957" s="16"/>
      <c r="F957" s="19"/>
      <c r="G957" s="20"/>
      <c r="H957" s="24"/>
      <c r="I957" s="25"/>
    </row>
    <row r="958" ht="15.75" customHeight="1">
      <c r="B958" s="13"/>
      <c r="D958" s="16"/>
      <c r="E958" s="16"/>
      <c r="F958" s="19"/>
      <c r="G958" s="20"/>
      <c r="H958" s="24"/>
      <c r="I958" s="25"/>
    </row>
    <row r="959" ht="15.75" customHeight="1">
      <c r="B959" s="13"/>
      <c r="D959" s="16"/>
      <c r="E959" s="16"/>
      <c r="F959" s="19"/>
      <c r="G959" s="20"/>
      <c r="H959" s="24"/>
      <c r="I959" s="25"/>
    </row>
    <row r="960" ht="15.75" customHeight="1">
      <c r="B960" s="13"/>
      <c r="D960" s="16"/>
      <c r="E960" s="16"/>
      <c r="F960" s="19"/>
      <c r="G960" s="20"/>
      <c r="H960" s="24"/>
      <c r="I960" s="25"/>
    </row>
    <row r="961" ht="15.75" customHeight="1">
      <c r="B961" s="13"/>
      <c r="D961" s="16"/>
      <c r="E961" s="16"/>
      <c r="F961" s="19"/>
      <c r="G961" s="20"/>
      <c r="H961" s="24"/>
      <c r="I961" s="25"/>
    </row>
    <row r="962" ht="15.75" customHeight="1">
      <c r="B962" s="13"/>
      <c r="D962" s="16"/>
      <c r="E962" s="16"/>
      <c r="F962" s="19"/>
      <c r="G962" s="20"/>
      <c r="H962" s="24"/>
      <c r="I962" s="25"/>
    </row>
    <row r="963" ht="15.75" customHeight="1">
      <c r="B963" s="13"/>
      <c r="D963" s="16"/>
      <c r="E963" s="16"/>
      <c r="F963" s="19"/>
      <c r="G963" s="20"/>
      <c r="H963" s="24"/>
      <c r="I963" s="25"/>
    </row>
    <row r="964" ht="15.75" customHeight="1">
      <c r="B964" s="13"/>
      <c r="D964" s="16"/>
      <c r="E964" s="16"/>
      <c r="F964" s="19"/>
      <c r="G964" s="20"/>
      <c r="H964" s="24"/>
      <c r="I964" s="25"/>
    </row>
    <row r="965" ht="15.75" customHeight="1">
      <c r="B965" s="13"/>
      <c r="D965" s="16"/>
      <c r="E965" s="16"/>
      <c r="F965" s="19"/>
      <c r="G965" s="20"/>
      <c r="H965" s="24"/>
      <c r="I965" s="25"/>
    </row>
    <row r="966" ht="15.75" customHeight="1">
      <c r="B966" s="13"/>
      <c r="D966" s="16"/>
      <c r="E966" s="16"/>
      <c r="F966" s="19"/>
      <c r="G966" s="20"/>
      <c r="H966" s="24"/>
      <c r="I966" s="25"/>
    </row>
    <row r="967" ht="15.75" customHeight="1">
      <c r="B967" s="13"/>
      <c r="D967" s="16"/>
      <c r="E967" s="16"/>
      <c r="F967" s="19"/>
      <c r="G967" s="20"/>
      <c r="H967" s="24"/>
      <c r="I967" s="25"/>
    </row>
    <row r="968" ht="15.75" customHeight="1">
      <c r="B968" s="13"/>
      <c r="D968" s="16"/>
      <c r="E968" s="16"/>
      <c r="F968" s="19"/>
      <c r="G968" s="20"/>
      <c r="H968" s="24"/>
      <c r="I968" s="25"/>
    </row>
    <row r="969" ht="15.75" customHeight="1">
      <c r="B969" s="13"/>
      <c r="D969" s="16"/>
      <c r="E969" s="16"/>
      <c r="F969" s="19"/>
      <c r="G969" s="20"/>
      <c r="H969" s="24"/>
      <c r="I969" s="25"/>
    </row>
    <row r="970" ht="15.75" customHeight="1">
      <c r="B970" s="13"/>
      <c r="D970" s="16"/>
      <c r="E970" s="16"/>
      <c r="F970" s="19"/>
      <c r="G970" s="20"/>
      <c r="H970" s="24"/>
      <c r="I970" s="25"/>
    </row>
    <row r="971" ht="15.75" customHeight="1">
      <c r="B971" s="13"/>
      <c r="D971" s="16"/>
      <c r="E971" s="16"/>
      <c r="F971" s="19"/>
      <c r="G971" s="20"/>
      <c r="H971" s="24"/>
      <c r="I971" s="25"/>
    </row>
    <row r="972" ht="15.75" customHeight="1">
      <c r="B972" s="13"/>
      <c r="D972" s="16"/>
      <c r="E972" s="16"/>
      <c r="F972" s="19"/>
      <c r="G972" s="20"/>
      <c r="H972" s="24"/>
      <c r="I972" s="25"/>
    </row>
    <row r="973" ht="15.75" customHeight="1">
      <c r="B973" s="13"/>
      <c r="D973" s="16"/>
      <c r="E973" s="16"/>
      <c r="F973" s="19"/>
      <c r="G973" s="20"/>
      <c r="H973" s="24"/>
      <c r="I973" s="25"/>
    </row>
    <row r="974" ht="15.75" customHeight="1">
      <c r="B974" s="13"/>
      <c r="D974" s="16"/>
      <c r="E974" s="16"/>
      <c r="F974" s="19"/>
      <c r="G974" s="20"/>
      <c r="H974" s="24"/>
      <c r="I974" s="25"/>
    </row>
    <row r="975" ht="15.75" customHeight="1">
      <c r="B975" s="13"/>
      <c r="D975" s="16"/>
      <c r="E975" s="16"/>
      <c r="F975" s="19"/>
      <c r="G975" s="20"/>
      <c r="H975" s="24"/>
      <c r="I975" s="25"/>
    </row>
    <row r="976" ht="15.75" customHeight="1">
      <c r="B976" s="13"/>
      <c r="D976" s="16"/>
      <c r="E976" s="16"/>
      <c r="F976" s="19"/>
      <c r="G976" s="20"/>
      <c r="H976" s="24"/>
      <c r="I976" s="25"/>
    </row>
    <row r="977" ht="15.75" customHeight="1">
      <c r="B977" s="13"/>
      <c r="D977" s="16"/>
      <c r="E977" s="16"/>
      <c r="F977" s="19"/>
      <c r="G977" s="20"/>
      <c r="H977" s="24"/>
      <c r="I977" s="25"/>
    </row>
    <row r="978" ht="15.75" customHeight="1">
      <c r="B978" s="13"/>
      <c r="D978" s="16"/>
      <c r="E978" s="16"/>
      <c r="F978" s="19"/>
      <c r="G978" s="20"/>
      <c r="H978" s="24"/>
      <c r="I978" s="25"/>
    </row>
    <row r="979" ht="15.75" customHeight="1">
      <c r="B979" s="13"/>
      <c r="D979" s="16"/>
      <c r="E979" s="16"/>
      <c r="F979" s="19"/>
      <c r="G979" s="20"/>
      <c r="H979" s="24"/>
      <c r="I979" s="25"/>
    </row>
    <row r="980" ht="15.75" customHeight="1">
      <c r="B980" s="13"/>
      <c r="D980" s="16"/>
      <c r="E980" s="16"/>
      <c r="F980" s="19"/>
      <c r="G980" s="20"/>
      <c r="H980" s="24"/>
      <c r="I980" s="25"/>
    </row>
    <row r="981" ht="15.75" customHeight="1">
      <c r="B981" s="13"/>
      <c r="D981" s="16"/>
      <c r="E981" s="16"/>
      <c r="F981" s="19"/>
      <c r="G981" s="20"/>
      <c r="H981" s="24"/>
      <c r="I981" s="25"/>
    </row>
    <row r="982" ht="15.75" customHeight="1">
      <c r="B982" s="13"/>
      <c r="D982" s="16"/>
      <c r="E982" s="16"/>
      <c r="F982" s="19"/>
      <c r="G982" s="20"/>
      <c r="H982" s="24"/>
      <c r="I982" s="25"/>
    </row>
    <row r="983" ht="15.75" customHeight="1">
      <c r="B983" s="13"/>
      <c r="D983" s="16"/>
      <c r="E983" s="16"/>
      <c r="F983" s="19"/>
      <c r="G983" s="20"/>
      <c r="H983" s="24"/>
      <c r="I983" s="25"/>
    </row>
    <row r="984" ht="15.75" customHeight="1">
      <c r="B984" s="13"/>
      <c r="D984" s="16"/>
      <c r="E984" s="16"/>
      <c r="F984" s="19"/>
      <c r="G984" s="20"/>
      <c r="H984" s="24"/>
      <c r="I984" s="25"/>
    </row>
    <row r="985" ht="15.75" customHeight="1">
      <c r="B985" s="13"/>
      <c r="D985" s="16"/>
      <c r="E985" s="16"/>
      <c r="F985" s="19"/>
      <c r="G985" s="20"/>
      <c r="H985" s="24"/>
      <c r="I985" s="25"/>
    </row>
    <row r="986" ht="15.75" customHeight="1">
      <c r="B986" s="13"/>
      <c r="D986" s="16"/>
      <c r="E986" s="16"/>
      <c r="F986" s="19"/>
      <c r="G986" s="20"/>
      <c r="H986" s="24"/>
      <c r="I986" s="25"/>
    </row>
    <row r="987" ht="15.75" customHeight="1">
      <c r="B987" s="13"/>
      <c r="D987" s="16"/>
      <c r="E987" s="16"/>
      <c r="F987" s="19"/>
      <c r="G987" s="20"/>
      <c r="H987" s="24"/>
      <c r="I987" s="25"/>
    </row>
    <row r="988" ht="15.75" customHeight="1">
      <c r="B988" s="13"/>
      <c r="D988" s="16"/>
      <c r="E988" s="16"/>
      <c r="F988" s="19"/>
      <c r="G988" s="20"/>
      <c r="H988" s="24"/>
      <c r="I988" s="25"/>
    </row>
    <row r="989" ht="15.75" customHeight="1">
      <c r="B989" s="13"/>
      <c r="D989" s="16"/>
      <c r="E989" s="16"/>
      <c r="F989" s="19"/>
      <c r="G989" s="20"/>
      <c r="H989" s="24"/>
      <c r="I989" s="25"/>
    </row>
    <row r="990" ht="15.75" customHeight="1">
      <c r="B990" s="13"/>
      <c r="D990" s="16"/>
      <c r="E990" s="16"/>
      <c r="F990" s="19"/>
      <c r="G990" s="20"/>
      <c r="H990" s="24"/>
      <c r="I990" s="25"/>
    </row>
    <row r="991" ht="15.75" customHeight="1">
      <c r="B991" s="13"/>
      <c r="D991" s="16"/>
      <c r="E991" s="16"/>
      <c r="F991" s="19"/>
      <c r="G991" s="20"/>
      <c r="H991" s="24"/>
      <c r="I991" s="25"/>
    </row>
    <row r="992" ht="15.75" customHeight="1">
      <c r="B992" s="13"/>
      <c r="D992" s="16"/>
      <c r="E992" s="16"/>
      <c r="F992" s="19"/>
      <c r="G992" s="20"/>
      <c r="H992" s="24"/>
      <c r="I992" s="25"/>
    </row>
    <row r="993" ht="15.75" customHeight="1">
      <c r="B993" s="13"/>
      <c r="D993" s="16"/>
      <c r="E993" s="16"/>
      <c r="F993" s="19"/>
      <c r="G993" s="20"/>
      <c r="H993" s="24"/>
      <c r="I993" s="25"/>
    </row>
    <row r="994" ht="15.75" customHeight="1">
      <c r="B994" s="13"/>
      <c r="D994" s="16"/>
      <c r="E994" s="16"/>
      <c r="F994" s="19"/>
      <c r="G994" s="20"/>
      <c r="H994" s="24"/>
      <c r="I994" s="25"/>
    </row>
    <row r="995" ht="15.75" customHeight="1">
      <c r="B995" s="13"/>
      <c r="D995" s="16"/>
      <c r="E995" s="16"/>
      <c r="F995" s="19"/>
      <c r="G995" s="20"/>
      <c r="H995" s="24"/>
      <c r="I995" s="25"/>
    </row>
    <row r="996" ht="15.75" customHeight="1">
      <c r="B996" s="13"/>
      <c r="D996" s="16"/>
      <c r="E996" s="16"/>
      <c r="F996" s="19"/>
      <c r="G996" s="20"/>
      <c r="H996" s="24"/>
      <c r="I996" s="25"/>
    </row>
    <row r="997" ht="15.75" customHeight="1">
      <c r="B997" s="13"/>
      <c r="D997" s="16"/>
      <c r="E997" s="16"/>
      <c r="F997" s="19"/>
      <c r="G997" s="20"/>
      <c r="H997" s="24"/>
      <c r="I997" s="25"/>
    </row>
    <row r="998" ht="15.75" customHeight="1">
      <c r="B998" s="13"/>
      <c r="D998" s="16"/>
      <c r="E998" s="16"/>
      <c r="F998" s="19"/>
      <c r="G998" s="20"/>
      <c r="H998" s="24"/>
      <c r="I998" s="25"/>
    </row>
    <row r="999" ht="15.75" customHeight="1">
      <c r="B999" s="13"/>
      <c r="D999" s="16"/>
      <c r="E999" s="16"/>
      <c r="F999" s="19"/>
      <c r="G999" s="20"/>
      <c r="H999" s="24"/>
      <c r="I999" s="25"/>
    </row>
    <row r="1000" ht="15.75" customHeight="1">
      <c r="B1000" s="13"/>
      <c r="D1000" s="16"/>
      <c r="E1000" s="16"/>
      <c r="F1000" s="19"/>
      <c r="G1000" s="20"/>
      <c r="H1000" s="24"/>
      <c r="I1000" s="2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8.71"/>
    <col customWidth="1" min="3" max="3" width="15.71"/>
    <col customWidth="1" min="4" max="4" width="12.71"/>
    <col customWidth="1" min="5" max="5" width="14.86"/>
    <col customWidth="1" min="6" max="6" width="15.71"/>
    <col customWidth="1" min="7" max="7" width="15.0"/>
    <col customWidth="1" min="8" max="8" width="18.43"/>
    <col customWidth="1" min="9" max="9" width="15.43"/>
    <col customWidth="1" min="10" max="10" width="14.57"/>
    <col customWidth="1" min="11" max="11" width="8.71"/>
    <col customWidth="1" min="12" max="13" width="18.71"/>
    <col customWidth="1" min="14" max="14" width="8.71"/>
    <col customWidth="1" min="15" max="15" width="20.0"/>
    <col customWidth="1" min="16" max="18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L1" s="9" t="s">
        <v>10</v>
      </c>
      <c r="M1" s="10" t="s">
        <v>11</v>
      </c>
      <c r="O1" s="11" t="s">
        <v>12</v>
      </c>
    </row>
    <row r="2">
      <c r="A2" s="12">
        <v>1.25</v>
      </c>
      <c r="B2" s="13">
        <v>1.0</v>
      </c>
      <c r="C2" s="14">
        <v>1.0</v>
      </c>
      <c r="D2" s="15">
        <v>1000.0</v>
      </c>
      <c r="E2" s="16" t="str">
        <f t="shared" ref="E2:E100" si="1">TEXT((D2/C2)/86400, "[h]"" h ""mm"" min ""ss"" s""")
</f>
        <v>0 h 16 min 40 s</v>
      </c>
      <c r="F2" s="17">
        <v>67.0</v>
      </c>
      <c r="G2" s="18">
        <v>27.0</v>
      </c>
      <c r="H2" s="19" t="str">
        <f t="shared" ref="H2:H100" si="3">TEXT((F2/C2)/86400, "[h]"" h ""mm"" min ""ss"" s""")
</f>
        <v>0 h 01 min 07 s</v>
      </c>
      <c r="I2" s="20" t="str">
        <f t="shared" ref="I2:I100" si="4">TEXT((G2/C2)/86400, "[h]"" h ""mm"" min ""ss"" s""")
</f>
        <v>0 h 00 min 27 s</v>
      </c>
      <c r="J2" s="14" t="str">
        <f t="shared" ref="J2:J31" si="5">TEXT((M2)/86400, "[h]"" h ""mm"" min ""ss"" s""")</f>
        <v>0 h 01 min 07 s</v>
      </c>
      <c r="L2" s="21">
        <f t="shared" ref="L2:L100" si="6">F2/C2</f>
        <v>67</v>
      </c>
      <c r="M2" s="21">
        <f>L2</f>
        <v>67</v>
      </c>
      <c r="O2" s="22">
        <v>3.0</v>
      </c>
    </row>
    <row r="3">
      <c r="B3" s="13">
        <v>2.0</v>
      </c>
      <c r="C3" s="16">
        <f t="shared" ref="C3:C100" si="7">C2*$A$2</f>
        <v>1.25</v>
      </c>
      <c r="D3" s="16">
        <f t="shared" ref="D3:D100" si="8">D2*$A$5</f>
        <v>1300</v>
      </c>
      <c r="E3" s="16" t="str">
        <f t="shared" si="1"/>
        <v>0 h 17 min 20 s</v>
      </c>
      <c r="F3" s="19">
        <f t="shared" ref="F3:G3" si="2">F2*$A$8</f>
        <v>100.5</v>
      </c>
      <c r="G3" s="20">
        <f t="shared" si="2"/>
        <v>40.5</v>
      </c>
      <c r="H3" s="19" t="str">
        <f t="shared" si="3"/>
        <v>0 h 01 min 20 s</v>
      </c>
      <c r="I3" s="20" t="str">
        <f t="shared" si="4"/>
        <v>0 h 00 min 32 s</v>
      </c>
      <c r="J3" s="14" t="str">
        <f t="shared" si="5"/>
        <v>0 h 02 min 27 s</v>
      </c>
      <c r="L3" s="21">
        <f t="shared" si="6"/>
        <v>80.4</v>
      </c>
      <c r="M3" s="21">
        <f t="shared" ref="M3:M100" si="10">M2+L3</f>
        <v>147.4</v>
      </c>
      <c r="O3" s="23">
        <f t="shared" ref="O3:O100" si="11">O2*A$11</f>
        <v>4.5</v>
      </c>
    </row>
    <row r="4">
      <c r="A4" s="1" t="s">
        <v>13</v>
      </c>
      <c r="B4" s="13">
        <v>3.0</v>
      </c>
      <c r="C4" s="16">
        <f t="shared" si="7"/>
        <v>1.5625</v>
      </c>
      <c r="D4" s="16">
        <f t="shared" si="8"/>
        <v>1690</v>
      </c>
      <c r="E4" s="16" t="str">
        <f t="shared" si="1"/>
        <v>0 h 18 min 02 s</v>
      </c>
      <c r="F4" s="19">
        <f t="shared" ref="F4:G4" si="9">F3*$A$8</f>
        <v>150.75</v>
      </c>
      <c r="G4" s="20">
        <f t="shared" si="9"/>
        <v>60.75</v>
      </c>
      <c r="H4" s="19" t="str">
        <f t="shared" si="3"/>
        <v>0 h 01 min 36 s</v>
      </c>
      <c r="I4" s="20" t="str">
        <f t="shared" si="4"/>
        <v>0 h 00 min 39 s</v>
      </c>
      <c r="J4" s="14" t="str">
        <f t="shared" si="5"/>
        <v>0 h 04 min 04 s</v>
      </c>
      <c r="L4" s="21">
        <f t="shared" si="6"/>
        <v>96.48</v>
      </c>
      <c r="M4" s="21">
        <f t="shared" si="10"/>
        <v>243.88</v>
      </c>
      <c r="O4" s="23">
        <f t="shared" si="11"/>
        <v>6.75</v>
      </c>
    </row>
    <row r="5">
      <c r="A5" s="12">
        <v>1.3</v>
      </c>
      <c r="B5" s="13">
        <v>4.0</v>
      </c>
      <c r="C5" s="16">
        <f t="shared" si="7"/>
        <v>1.953125</v>
      </c>
      <c r="D5" s="16">
        <f t="shared" si="8"/>
        <v>2197</v>
      </c>
      <c r="E5" s="16" t="str">
        <f t="shared" si="1"/>
        <v>0 h 18 min 45 s</v>
      </c>
      <c r="F5" s="19">
        <f t="shared" ref="F5:G5" si="12">F4*$A$8</f>
        <v>226.125</v>
      </c>
      <c r="G5" s="20">
        <f t="shared" si="12"/>
        <v>91.125</v>
      </c>
      <c r="H5" s="19" t="str">
        <f t="shared" si="3"/>
        <v>0 h 01 min 56 s</v>
      </c>
      <c r="I5" s="20" t="str">
        <f t="shared" si="4"/>
        <v>0 h 00 min 47 s</v>
      </c>
      <c r="J5" s="14" t="str">
        <f t="shared" si="5"/>
        <v>0 h 06 min 00 s</v>
      </c>
      <c r="L5" s="21">
        <f t="shared" si="6"/>
        <v>115.776</v>
      </c>
      <c r="M5" s="21">
        <f t="shared" si="10"/>
        <v>359.656</v>
      </c>
      <c r="O5" s="23">
        <f t="shared" si="11"/>
        <v>10.125</v>
      </c>
    </row>
    <row r="6">
      <c r="B6" s="13">
        <v>5.0</v>
      </c>
      <c r="C6" s="16">
        <f t="shared" si="7"/>
        <v>2.44140625</v>
      </c>
      <c r="D6" s="16">
        <f t="shared" si="8"/>
        <v>2856.1</v>
      </c>
      <c r="E6" s="16" t="str">
        <f t="shared" si="1"/>
        <v>0 h 19 min 30 s</v>
      </c>
      <c r="F6" s="19">
        <f t="shared" ref="F6:G6" si="13">F5*$A$8</f>
        <v>339.1875</v>
      </c>
      <c r="G6" s="20">
        <f t="shared" si="13"/>
        <v>136.6875</v>
      </c>
      <c r="H6" s="19" t="str">
        <f t="shared" si="3"/>
        <v>0 h 02 min 19 s</v>
      </c>
      <c r="I6" s="20" t="str">
        <f t="shared" si="4"/>
        <v>0 h 00 min 56 s</v>
      </c>
      <c r="J6" s="14" t="str">
        <f t="shared" si="5"/>
        <v>0 h 08 min 19 s</v>
      </c>
      <c r="L6" s="21">
        <f t="shared" si="6"/>
        <v>138.9312</v>
      </c>
      <c r="M6" s="21">
        <f t="shared" si="10"/>
        <v>498.5872</v>
      </c>
      <c r="O6" s="23">
        <f t="shared" si="11"/>
        <v>15.1875</v>
      </c>
    </row>
    <row r="7">
      <c r="A7" s="1" t="s">
        <v>14</v>
      </c>
      <c r="B7" s="13">
        <v>6.0</v>
      </c>
      <c r="C7" s="16">
        <f t="shared" si="7"/>
        <v>3.051757813</v>
      </c>
      <c r="D7" s="16">
        <f t="shared" si="8"/>
        <v>3712.93</v>
      </c>
      <c r="E7" s="16" t="str">
        <f t="shared" si="1"/>
        <v>0 h 20 min 17 s</v>
      </c>
      <c r="F7" s="19">
        <f t="shared" ref="F7:G7" si="14">F6*$A$8</f>
        <v>508.78125</v>
      </c>
      <c r="G7" s="20">
        <f t="shared" si="14"/>
        <v>205.03125</v>
      </c>
      <c r="H7" s="19" t="str">
        <f t="shared" si="3"/>
        <v>0 h 02 min 47 s</v>
      </c>
      <c r="I7" s="20" t="str">
        <f t="shared" si="4"/>
        <v>0 h 01 min 07 s</v>
      </c>
      <c r="J7" s="14" t="str">
        <f t="shared" si="5"/>
        <v>0 h 11 min 05 s</v>
      </c>
      <c r="L7" s="21">
        <f t="shared" si="6"/>
        <v>166.71744</v>
      </c>
      <c r="M7" s="21">
        <f t="shared" si="10"/>
        <v>665.30464</v>
      </c>
      <c r="O7" s="23">
        <f t="shared" si="11"/>
        <v>22.78125</v>
      </c>
    </row>
    <row r="8">
      <c r="A8" s="12">
        <v>1.5</v>
      </c>
      <c r="B8" s="13">
        <v>7.0</v>
      </c>
      <c r="C8" s="16">
        <f t="shared" si="7"/>
        <v>3.814697266</v>
      </c>
      <c r="D8" s="16">
        <f t="shared" si="8"/>
        <v>4826.809</v>
      </c>
      <c r="E8" s="16" t="str">
        <f t="shared" si="1"/>
        <v>0 h 21 min 05 s</v>
      </c>
      <c r="F8" s="19">
        <f t="shared" ref="F8:G8" si="15">F7*$A$8</f>
        <v>763.171875</v>
      </c>
      <c r="G8" s="20">
        <f t="shared" si="15"/>
        <v>307.546875</v>
      </c>
      <c r="H8" s="19" t="str">
        <f t="shared" si="3"/>
        <v>0 h 03 min 20 s</v>
      </c>
      <c r="I8" s="20" t="str">
        <f t="shared" si="4"/>
        <v>0 h 01 min 21 s</v>
      </c>
      <c r="J8" s="14" t="str">
        <f t="shared" si="5"/>
        <v>0 h 14 min 25 s</v>
      </c>
      <c r="L8" s="21">
        <f t="shared" si="6"/>
        <v>200.060928</v>
      </c>
      <c r="M8" s="21">
        <f t="shared" si="10"/>
        <v>865.365568</v>
      </c>
      <c r="O8" s="23">
        <f t="shared" si="11"/>
        <v>34.171875</v>
      </c>
    </row>
    <row r="9">
      <c r="B9" s="13">
        <v>8.0</v>
      </c>
      <c r="C9" s="16">
        <f t="shared" si="7"/>
        <v>4.768371582</v>
      </c>
      <c r="D9" s="16">
        <f t="shared" si="8"/>
        <v>6274.8517</v>
      </c>
      <c r="E9" s="16" t="str">
        <f t="shared" si="1"/>
        <v>0 h 21 min 56 s</v>
      </c>
      <c r="F9" s="19">
        <f t="shared" ref="F9:G9" si="16">F8*$A$8</f>
        <v>1144.757813</v>
      </c>
      <c r="G9" s="20">
        <f t="shared" si="16"/>
        <v>461.3203125</v>
      </c>
      <c r="H9" s="19" t="str">
        <f t="shared" si="3"/>
        <v>0 h 04 min 00 s</v>
      </c>
      <c r="I9" s="20" t="str">
        <f t="shared" si="4"/>
        <v>0 h 01 min 37 s</v>
      </c>
      <c r="J9" s="14" t="str">
        <f t="shared" si="5"/>
        <v>0 h 18 min 25 s</v>
      </c>
      <c r="L9" s="21">
        <f t="shared" si="6"/>
        <v>240.0731136</v>
      </c>
      <c r="M9" s="21">
        <f t="shared" si="10"/>
        <v>1105.438682</v>
      </c>
      <c r="O9" s="23">
        <f t="shared" si="11"/>
        <v>51.2578125</v>
      </c>
    </row>
    <row r="10">
      <c r="A10" s="1" t="s">
        <v>15</v>
      </c>
      <c r="B10" s="13">
        <v>9.0</v>
      </c>
      <c r="C10" s="16">
        <f t="shared" si="7"/>
        <v>5.960464478</v>
      </c>
      <c r="D10" s="16">
        <f t="shared" si="8"/>
        <v>8157.30721</v>
      </c>
      <c r="E10" s="16" t="str">
        <f t="shared" si="1"/>
        <v>0 h 22 min 49 s</v>
      </c>
      <c r="F10" s="19">
        <f t="shared" ref="F10:G10" si="17">F9*$A$8</f>
        <v>1717.136719</v>
      </c>
      <c r="G10" s="20">
        <f t="shared" si="17"/>
        <v>691.9804688</v>
      </c>
      <c r="H10" s="19" t="str">
        <f t="shared" si="3"/>
        <v>0 h 04 min 48 s</v>
      </c>
      <c r="I10" s="20" t="str">
        <f t="shared" si="4"/>
        <v>0 h 01 min 56 s</v>
      </c>
      <c r="J10" s="14" t="str">
        <f t="shared" si="5"/>
        <v>0 h 23 min 14 s</v>
      </c>
      <c r="L10" s="21">
        <f t="shared" si="6"/>
        <v>288.0877363</v>
      </c>
      <c r="M10" s="21">
        <f t="shared" si="10"/>
        <v>1393.526418</v>
      </c>
      <c r="O10" s="23">
        <f t="shared" si="11"/>
        <v>76.88671875</v>
      </c>
    </row>
    <row r="11">
      <c r="A11" s="12">
        <v>1.5</v>
      </c>
      <c r="B11" s="13">
        <v>10.0</v>
      </c>
      <c r="C11" s="16">
        <f t="shared" si="7"/>
        <v>7.450580597</v>
      </c>
      <c r="D11" s="16">
        <f t="shared" si="8"/>
        <v>10604.49937</v>
      </c>
      <c r="E11" s="16" t="str">
        <f t="shared" si="1"/>
        <v>0 h 23 min 43 s</v>
      </c>
      <c r="F11" s="19">
        <f t="shared" ref="F11:G11" si="18">F10*$A$8</f>
        <v>2575.705078</v>
      </c>
      <c r="G11" s="20">
        <f t="shared" si="18"/>
        <v>1037.970703</v>
      </c>
      <c r="H11" s="19" t="str">
        <f t="shared" si="3"/>
        <v>0 h 05 min 46 s</v>
      </c>
      <c r="I11" s="20" t="str">
        <f t="shared" si="4"/>
        <v>0 h 02 min 19 s</v>
      </c>
      <c r="J11" s="14" t="str">
        <f t="shared" si="5"/>
        <v>0 h 28 min 59 s</v>
      </c>
      <c r="L11" s="21">
        <f t="shared" si="6"/>
        <v>345.7052836</v>
      </c>
      <c r="M11" s="21">
        <f t="shared" si="10"/>
        <v>1739.231702</v>
      </c>
      <c r="O11" s="23">
        <f t="shared" si="11"/>
        <v>115.3300781</v>
      </c>
    </row>
    <row r="12">
      <c r="B12" s="13">
        <v>11.0</v>
      </c>
      <c r="C12" s="16">
        <f t="shared" si="7"/>
        <v>9.313225746</v>
      </c>
      <c r="D12" s="16">
        <f t="shared" si="8"/>
        <v>13785.84918</v>
      </c>
      <c r="E12" s="16" t="str">
        <f t="shared" si="1"/>
        <v>0 h 24 min 40 s</v>
      </c>
      <c r="F12" s="19">
        <f t="shared" ref="F12:G12" si="19">F11*$A$8</f>
        <v>3863.557617</v>
      </c>
      <c r="G12" s="20">
        <f t="shared" si="19"/>
        <v>1556.956055</v>
      </c>
      <c r="H12" s="19" t="str">
        <f t="shared" si="3"/>
        <v>0 h 06 min 55 s</v>
      </c>
      <c r="I12" s="20" t="str">
        <f t="shared" si="4"/>
        <v>0 h 02 min 47 s</v>
      </c>
      <c r="J12" s="14" t="str">
        <f t="shared" si="5"/>
        <v>0 h 35 min 54 s</v>
      </c>
      <c r="L12" s="21">
        <f t="shared" si="6"/>
        <v>414.8463403</v>
      </c>
      <c r="M12" s="21">
        <f t="shared" si="10"/>
        <v>2154.078042</v>
      </c>
      <c r="O12" s="23">
        <f t="shared" si="11"/>
        <v>172.9951172</v>
      </c>
    </row>
    <row r="13">
      <c r="B13" s="13">
        <v>12.0</v>
      </c>
      <c r="C13" s="16">
        <f t="shared" si="7"/>
        <v>11.64153218</v>
      </c>
      <c r="D13" s="16">
        <f t="shared" si="8"/>
        <v>17921.60394</v>
      </c>
      <c r="E13" s="16" t="str">
        <f t="shared" si="1"/>
        <v>0 h 25 min 39 s</v>
      </c>
      <c r="F13" s="19">
        <f t="shared" ref="F13:G13" si="20">F12*$A$8</f>
        <v>5795.336426</v>
      </c>
      <c r="G13" s="20">
        <f t="shared" si="20"/>
        <v>2335.434082</v>
      </c>
      <c r="H13" s="19" t="str">
        <f t="shared" si="3"/>
        <v>0 h 08 min 18 s</v>
      </c>
      <c r="I13" s="20" t="str">
        <f t="shared" si="4"/>
        <v>0 h 03 min 21 s</v>
      </c>
      <c r="J13" s="14" t="str">
        <f t="shared" si="5"/>
        <v>0 h 44 min 12 s</v>
      </c>
      <c r="L13" s="21">
        <f t="shared" si="6"/>
        <v>497.8156084</v>
      </c>
      <c r="M13" s="21">
        <f t="shared" si="10"/>
        <v>2651.89365</v>
      </c>
      <c r="O13" s="23">
        <f t="shared" si="11"/>
        <v>259.4926758</v>
      </c>
    </row>
    <row r="14">
      <c r="B14" s="13">
        <v>13.0</v>
      </c>
      <c r="C14" s="16">
        <f t="shared" si="7"/>
        <v>14.55191523</v>
      </c>
      <c r="D14" s="16">
        <f t="shared" si="8"/>
        <v>23298.08512</v>
      </c>
      <c r="E14" s="16" t="str">
        <f t="shared" si="1"/>
        <v>0 h 26 min 41 s</v>
      </c>
      <c r="F14" s="19">
        <f t="shared" ref="F14:G14" si="21">F13*$A$8</f>
        <v>8693.004639</v>
      </c>
      <c r="G14" s="20">
        <f t="shared" si="21"/>
        <v>3503.151123</v>
      </c>
      <c r="H14" s="19" t="str">
        <f t="shared" si="3"/>
        <v>0 h 09 min 57 s</v>
      </c>
      <c r="I14" s="20" t="str">
        <f t="shared" si="4"/>
        <v>0 h 04 min 01 s</v>
      </c>
      <c r="J14" s="14" t="str">
        <f t="shared" si="5"/>
        <v>0 h 54 min 09 s</v>
      </c>
      <c r="L14" s="21">
        <f t="shared" si="6"/>
        <v>597.37873</v>
      </c>
      <c r="M14" s="21">
        <f t="shared" si="10"/>
        <v>3249.27238</v>
      </c>
      <c r="O14" s="23">
        <f t="shared" si="11"/>
        <v>389.2390137</v>
      </c>
    </row>
    <row r="15">
      <c r="B15" s="13">
        <v>14.0</v>
      </c>
      <c r="C15" s="16">
        <f t="shared" si="7"/>
        <v>18.18989404</v>
      </c>
      <c r="D15" s="16">
        <f t="shared" si="8"/>
        <v>30287.51066</v>
      </c>
      <c r="E15" s="16" t="str">
        <f t="shared" si="1"/>
        <v>0 h 27 min 45 s</v>
      </c>
      <c r="F15" s="19">
        <f t="shared" ref="F15:G15" si="22">F14*$A$8</f>
        <v>13039.50696</v>
      </c>
      <c r="G15" s="20">
        <f t="shared" si="22"/>
        <v>5254.726685</v>
      </c>
      <c r="H15" s="19" t="str">
        <f t="shared" si="3"/>
        <v>0 h 11 min 57 s</v>
      </c>
      <c r="I15" s="20" t="str">
        <f t="shared" si="4"/>
        <v>0 h 04 min 49 s</v>
      </c>
      <c r="J15" s="14" t="str">
        <f t="shared" si="5"/>
        <v>1 h 06 min 06 s</v>
      </c>
      <c r="L15" s="21">
        <f t="shared" si="6"/>
        <v>716.854476</v>
      </c>
      <c r="M15" s="21">
        <f t="shared" si="10"/>
        <v>3966.126856</v>
      </c>
      <c r="O15" s="23">
        <f t="shared" si="11"/>
        <v>583.8585205</v>
      </c>
    </row>
    <row r="16">
      <c r="B16" s="13">
        <v>15.0</v>
      </c>
      <c r="C16" s="16">
        <f t="shared" si="7"/>
        <v>22.73736754</v>
      </c>
      <c r="D16" s="16">
        <f t="shared" si="8"/>
        <v>39373.76386</v>
      </c>
      <c r="E16" s="16" t="str">
        <f t="shared" si="1"/>
        <v>0 h 28 min 52 s</v>
      </c>
      <c r="F16" s="19">
        <f t="shared" ref="F16:G16" si="23">F15*$A$8</f>
        <v>19559.26044</v>
      </c>
      <c r="G16" s="20">
        <f t="shared" si="23"/>
        <v>7882.090027</v>
      </c>
      <c r="H16" s="19" t="str">
        <f t="shared" si="3"/>
        <v>0 h 14 min 20 s</v>
      </c>
      <c r="I16" s="20" t="str">
        <f t="shared" si="4"/>
        <v>0 h 05 min 47 s</v>
      </c>
      <c r="J16" s="14" t="str">
        <f t="shared" si="5"/>
        <v>1 h 20 min 26 s</v>
      </c>
      <c r="L16" s="21">
        <f t="shared" si="6"/>
        <v>860.2253712</v>
      </c>
      <c r="M16" s="21">
        <f t="shared" si="10"/>
        <v>4826.352227</v>
      </c>
      <c r="O16" s="23">
        <f t="shared" si="11"/>
        <v>875.7877808</v>
      </c>
    </row>
    <row r="17">
      <c r="B17" s="13">
        <v>16.0</v>
      </c>
      <c r="C17" s="16">
        <f t="shared" si="7"/>
        <v>28.42170943</v>
      </c>
      <c r="D17" s="16">
        <f t="shared" si="8"/>
        <v>51185.89301</v>
      </c>
      <c r="E17" s="16" t="str">
        <f t="shared" si="1"/>
        <v>0 h 30 min 01 s</v>
      </c>
      <c r="F17" s="19">
        <f t="shared" ref="F17:G17" si="24">F16*$A$8</f>
        <v>29338.89066</v>
      </c>
      <c r="G17" s="20">
        <f t="shared" si="24"/>
        <v>11823.13504</v>
      </c>
      <c r="H17" s="19" t="str">
        <f t="shared" si="3"/>
        <v>0 h 17 min 12 s</v>
      </c>
      <c r="I17" s="20" t="str">
        <f t="shared" si="4"/>
        <v>0 h 06 min 56 s</v>
      </c>
      <c r="J17" s="14" t="str">
        <f t="shared" si="5"/>
        <v>1 h 37 min 39 s</v>
      </c>
      <c r="L17" s="21">
        <f t="shared" si="6"/>
        <v>1032.270445</v>
      </c>
      <c r="M17" s="21">
        <f t="shared" si="10"/>
        <v>5858.622673</v>
      </c>
      <c r="O17" s="23">
        <f t="shared" si="11"/>
        <v>1313.681671</v>
      </c>
    </row>
    <row r="18">
      <c r="B18" s="13">
        <v>17.0</v>
      </c>
      <c r="C18" s="16">
        <f t="shared" si="7"/>
        <v>35.52713679</v>
      </c>
      <c r="D18" s="16">
        <f t="shared" si="8"/>
        <v>66541.66092</v>
      </c>
      <c r="E18" s="16" t="str">
        <f t="shared" si="1"/>
        <v>0 h 31 min 13 s</v>
      </c>
      <c r="F18" s="19">
        <f t="shared" ref="F18:G18" si="25">F17*$A$8</f>
        <v>44008.33598</v>
      </c>
      <c r="G18" s="20">
        <f t="shared" si="25"/>
        <v>17734.70256</v>
      </c>
      <c r="H18" s="19" t="str">
        <f t="shared" si="3"/>
        <v>0 h 20 min 39 s</v>
      </c>
      <c r="I18" s="20" t="str">
        <f t="shared" si="4"/>
        <v>0 h 08 min 19 s</v>
      </c>
      <c r="J18" s="14" t="str">
        <f t="shared" si="5"/>
        <v>1 h 58 min 17 s</v>
      </c>
      <c r="L18" s="21">
        <f t="shared" si="6"/>
        <v>1238.724535</v>
      </c>
      <c r="M18" s="21">
        <f t="shared" si="10"/>
        <v>7097.347208</v>
      </c>
      <c r="O18" s="23">
        <f t="shared" si="11"/>
        <v>1970.522507</v>
      </c>
    </row>
    <row r="19">
      <c r="B19" s="13">
        <v>18.0</v>
      </c>
      <c r="C19" s="16">
        <f t="shared" si="7"/>
        <v>44.40892099</v>
      </c>
      <c r="D19" s="16">
        <f t="shared" si="8"/>
        <v>86504.15919</v>
      </c>
      <c r="E19" s="16" t="str">
        <f t="shared" si="1"/>
        <v>0 h 32 min 28 s</v>
      </c>
      <c r="F19" s="19">
        <f t="shared" ref="F19:G19" si="26">F18*$A$8</f>
        <v>66012.50397</v>
      </c>
      <c r="G19" s="20">
        <f t="shared" si="26"/>
        <v>26602.05384</v>
      </c>
      <c r="H19" s="19" t="str">
        <f t="shared" si="3"/>
        <v>0 h 24 min 46 s</v>
      </c>
      <c r="I19" s="20" t="str">
        <f t="shared" si="4"/>
        <v>0 h 09 min 59 s</v>
      </c>
      <c r="J19" s="14" t="str">
        <f t="shared" si="5"/>
        <v>2 h 23 min 04 s</v>
      </c>
      <c r="L19" s="21">
        <f t="shared" si="6"/>
        <v>1486.469442</v>
      </c>
      <c r="M19" s="21">
        <f t="shared" si="10"/>
        <v>8583.816649</v>
      </c>
      <c r="O19" s="23">
        <f t="shared" si="11"/>
        <v>2955.78376</v>
      </c>
    </row>
    <row r="20">
      <c r="B20" s="13">
        <v>19.0</v>
      </c>
      <c r="C20" s="16">
        <f t="shared" si="7"/>
        <v>55.51115123</v>
      </c>
      <c r="D20" s="16">
        <f t="shared" si="8"/>
        <v>112455.407</v>
      </c>
      <c r="E20" s="16" t="str">
        <f t="shared" si="1"/>
        <v>0 h 33 min 46 s</v>
      </c>
      <c r="F20" s="19">
        <f t="shared" ref="F20:G20" si="27">F19*$A$8</f>
        <v>99018.75596</v>
      </c>
      <c r="G20" s="20">
        <f t="shared" si="27"/>
        <v>39903.08076</v>
      </c>
      <c r="H20" s="19" t="str">
        <f t="shared" si="3"/>
        <v>0 h 29 min 44 s</v>
      </c>
      <c r="I20" s="20" t="str">
        <f t="shared" si="4"/>
        <v>0 h 11 min 59 s</v>
      </c>
      <c r="J20" s="14" t="str">
        <f t="shared" si="5"/>
        <v>2 h 52 min 48 s</v>
      </c>
      <c r="L20" s="21">
        <f t="shared" si="6"/>
        <v>1783.76333</v>
      </c>
      <c r="M20" s="21">
        <f t="shared" si="10"/>
        <v>10367.57998</v>
      </c>
      <c r="O20" s="23">
        <f t="shared" si="11"/>
        <v>4433.67564</v>
      </c>
    </row>
    <row r="21" ht="15.75" customHeight="1">
      <c r="B21" s="13">
        <v>20.0</v>
      </c>
      <c r="C21" s="16">
        <f t="shared" si="7"/>
        <v>69.38893904</v>
      </c>
      <c r="D21" s="16">
        <f t="shared" si="8"/>
        <v>146192.029</v>
      </c>
      <c r="E21" s="16" t="str">
        <f t="shared" si="1"/>
        <v>0 h 35 min 07 s</v>
      </c>
      <c r="F21" s="19">
        <f t="shared" ref="F21:G21" si="28">F20*$A$8</f>
        <v>148528.1339</v>
      </c>
      <c r="G21" s="20">
        <f t="shared" si="28"/>
        <v>59854.62114</v>
      </c>
      <c r="H21" s="19" t="str">
        <f t="shared" si="3"/>
        <v>0 h 35 min 41 s</v>
      </c>
      <c r="I21" s="20" t="str">
        <f t="shared" si="4"/>
        <v>0 h 14 min 23 s</v>
      </c>
      <c r="J21" s="14" t="str">
        <f t="shared" si="5"/>
        <v>3 h 28 min 28 s</v>
      </c>
      <c r="L21" s="21">
        <f t="shared" si="6"/>
        <v>2140.515996</v>
      </c>
      <c r="M21" s="21">
        <f t="shared" si="10"/>
        <v>12508.09597</v>
      </c>
      <c r="O21" s="23">
        <f t="shared" si="11"/>
        <v>6650.51346</v>
      </c>
    </row>
    <row r="22" ht="15.75" customHeight="1">
      <c r="B22" s="13">
        <v>21.0</v>
      </c>
      <c r="C22" s="16">
        <f t="shared" si="7"/>
        <v>86.7361738</v>
      </c>
      <c r="D22" s="16">
        <f t="shared" si="8"/>
        <v>190049.6377</v>
      </c>
      <c r="E22" s="16" t="str">
        <f t="shared" si="1"/>
        <v>0 h 36 min 31 s</v>
      </c>
      <c r="F22" s="19">
        <f t="shared" ref="F22:G22" si="29">F21*$A$8</f>
        <v>222792.2009</v>
      </c>
      <c r="G22" s="20">
        <f t="shared" si="29"/>
        <v>89781.93171</v>
      </c>
      <c r="H22" s="19" t="str">
        <f t="shared" si="3"/>
        <v>0 h 42 min 49 s</v>
      </c>
      <c r="I22" s="20" t="str">
        <f t="shared" si="4"/>
        <v>0 h 17 min 15 s</v>
      </c>
      <c r="J22" s="14" t="str">
        <f t="shared" si="5"/>
        <v>4 h 11 min 17 s</v>
      </c>
      <c r="L22" s="21">
        <f t="shared" si="6"/>
        <v>2568.619195</v>
      </c>
      <c r="M22" s="21">
        <f t="shared" si="10"/>
        <v>15076.71517</v>
      </c>
      <c r="O22" s="23">
        <f t="shared" si="11"/>
        <v>9975.77019</v>
      </c>
    </row>
    <row r="23" ht="15.75" customHeight="1">
      <c r="B23" s="13">
        <v>22.0</v>
      </c>
      <c r="C23" s="16">
        <f t="shared" si="7"/>
        <v>108.4202172</v>
      </c>
      <c r="D23" s="16">
        <f t="shared" si="8"/>
        <v>247064.5291</v>
      </c>
      <c r="E23" s="16" t="str">
        <f t="shared" si="1"/>
        <v>0 h 37 min 59 s</v>
      </c>
      <c r="F23" s="19">
        <f t="shared" ref="F23:G23" si="30">F22*$A$8</f>
        <v>334188.3014</v>
      </c>
      <c r="G23" s="20">
        <f t="shared" si="30"/>
        <v>134672.8976</v>
      </c>
      <c r="H23" s="19" t="str">
        <f t="shared" si="3"/>
        <v>0 h 51 min 22 s</v>
      </c>
      <c r="I23" s="20" t="str">
        <f t="shared" si="4"/>
        <v>0 h 20 min 42 s</v>
      </c>
      <c r="J23" s="14" t="str">
        <f t="shared" si="5"/>
        <v>5 h 02 min 39 s</v>
      </c>
      <c r="L23" s="21">
        <f t="shared" si="6"/>
        <v>3082.343034</v>
      </c>
      <c r="M23" s="21">
        <f t="shared" si="10"/>
        <v>18159.0582</v>
      </c>
      <c r="O23" s="23">
        <f t="shared" si="11"/>
        <v>14963.65529</v>
      </c>
    </row>
    <row r="24" ht="15.75" customHeight="1">
      <c r="B24" s="13">
        <v>23.0</v>
      </c>
      <c r="C24" s="16">
        <f t="shared" si="7"/>
        <v>135.5252716</v>
      </c>
      <c r="D24" s="16">
        <f t="shared" si="8"/>
        <v>321183.8878</v>
      </c>
      <c r="E24" s="16" t="str">
        <f t="shared" si="1"/>
        <v>0 h 39 min 30 s</v>
      </c>
      <c r="F24" s="19">
        <f t="shared" ref="F24:G24" si="31">F23*$A$8</f>
        <v>501282.4521</v>
      </c>
      <c r="G24" s="20">
        <f t="shared" si="31"/>
        <v>202009.3464</v>
      </c>
      <c r="H24" s="19" t="str">
        <f t="shared" si="3"/>
        <v>1 h 01 min 39 s</v>
      </c>
      <c r="I24" s="20" t="str">
        <f t="shared" si="4"/>
        <v>0 h 24 min 51 s</v>
      </c>
      <c r="J24" s="14" t="str">
        <f t="shared" si="5"/>
        <v>6 h 04 min 18 s</v>
      </c>
      <c r="L24" s="21">
        <f t="shared" si="6"/>
        <v>3698.811641</v>
      </c>
      <c r="M24" s="21">
        <f t="shared" si="10"/>
        <v>21857.86984</v>
      </c>
      <c r="O24" s="23">
        <f t="shared" si="11"/>
        <v>22445.48293</v>
      </c>
    </row>
    <row r="25" ht="15.75" customHeight="1">
      <c r="B25" s="13">
        <v>24.0</v>
      </c>
      <c r="C25" s="16">
        <f t="shared" si="7"/>
        <v>169.4065895</v>
      </c>
      <c r="D25" s="16">
        <f t="shared" si="8"/>
        <v>417539.0541</v>
      </c>
      <c r="E25" s="16" t="str">
        <f t="shared" si="1"/>
        <v>0 h 41 min 05 s</v>
      </c>
      <c r="F25" s="19">
        <f t="shared" ref="F25:G25" si="32">F24*$A$8</f>
        <v>751923.6781</v>
      </c>
      <c r="G25" s="20">
        <f t="shared" si="32"/>
        <v>303014.0195</v>
      </c>
      <c r="H25" s="19" t="str">
        <f t="shared" si="3"/>
        <v>1 h 13 min 59 s</v>
      </c>
      <c r="I25" s="20" t="str">
        <f t="shared" si="4"/>
        <v>0 h 29 min 49 s</v>
      </c>
      <c r="J25" s="14" t="str">
        <f t="shared" si="5"/>
        <v>7 h 18 min 16 s</v>
      </c>
      <c r="L25" s="21">
        <f t="shared" si="6"/>
        <v>4438.573969</v>
      </c>
      <c r="M25" s="21">
        <f t="shared" si="10"/>
        <v>26296.44381</v>
      </c>
      <c r="O25" s="23">
        <f t="shared" si="11"/>
        <v>33668.22439</v>
      </c>
    </row>
    <row r="26" ht="15.75" customHeight="1">
      <c r="B26" s="13">
        <v>25.0</v>
      </c>
      <c r="C26" s="16">
        <f t="shared" si="7"/>
        <v>211.7582368</v>
      </c>
      <c r="D26" s="16">
        <f t="shared" si="8"/>
        <v>542800.7704</v>
      </c>
      <c r="E26" s="16" t="str">
        <f t="shared" si="1"/>
        <v>0 h 42 min 43 s</v>
      </c>
      <c r="F26" s="19">
        <f t="shared" ref="F26:G26" si="33">F25*$A$8</f>
        <v>1127885.517</v>
      </c>
      <c r="G26" s="20">
        <f t="shared" si="33"/>
        <v>454521.0293</v>
      </c>
      <c r="H26" s="19" t="str">
        <f t="shared" si="3"/>
        <v>1 h 28 min 46 s</v>
      </c>
      <c r="I26" s="20" t="str">
        <f t="shared" si="4"/>
        <v>0 h 35 min 46 s</v>
      </c>
      <c r="J26" s="14" t="str">
        <f t="shared" si="5"/>
        <v>8 h 47 min 03 s</v>
      </c>
      <c r="L26" s="21">
        <f t="shared" si="6"/>
        <v>5326.288763</v>
      </c>
      <c r="M26" s="21">
        <f t="shared" si="10"/>
        <v>31622.73258</v>
      </c>
      <c r="O26" s="23">
        <f t="shared" si="11"/>
        <v>50502.33659</v>
      </c>
    </row>
    <row r="27" ht="15.75" customHeight="1">
      <c r="B27" s="13">
        <v>26.0</v>
      </c>
      <c r="C27" s="16">
        <f t="shared" si="7"/>
        <v>264.697796</v>
      </c>
      <c r="D27" s="16">
        <f t="shared" si="8"/>
        <v>705641.0015</v>
      </c>
      <c r="E27" s="16" t="str">
        <f t="shared" si="1"/>
        <v>0 h 44 min 26 s</v>
      </c>
      <c r="F27" s="19">
        <f t="shared" ref="F27:G27" si="34">F26*$A$8</f>
        <v>1691828.276</v>
      </c>
      <c r="G27" s="20">
        <f t="shared" si="34"/>
        <v>681781.5439</v>
      </c>
      <c r="H27" s="19" t="str">
        <f t="shared" si="3"/>
        <v>1 h 46 min 32 s</v>
      </c>
      <c r="I27" s="20" t="str">
        <f t="shared" si="4"/>
        <v>0 h 42 min 56 s</v>
      </c>
      <c r="J27" s="14" t="str">
        <f t="shared" si="5"/>
        <v>10 h 33 min 34 s</v>
      </c>
      <c r="L27" s="21">
        <f t="shared" si="6"/>
        <v>6391.546515</v>
      </c>
      <c r="M27" s="21">
        <f t="shared" si="10"/>
        <v>38014.27909</v>
      </c>
      <c r="O27" s="23">
        <f t="shared" si="11"/>
        <v>75753.50488</v>
      </c>
    </row>
    <row r="28" ht="15.75" customHeight="1">
      <c r="B28" s="13">
        <v>27.0</v>
      </c>
      <c r="C28" s="16">
        <f t="shared" si="7"/>
        <v>330.872245</v>
      </c>
      <c r="D28" s="16">
        <f t="shared" si="8"/>
        <v>917333.3019</v>
      </c>
      <c r="E28" s="16" t="str">
        <f t="shared" si="1"/>
        <v>0 h 46 min 12 s</v>
      </c>
      <c r="F28" s="19">
        <f t="shared" ref="F28:G28" si="35">F27*$A$8</f>
        <v>2537742.414</v>
      </c>
      <c r="G28" s="20">
        <f t="shared" si="35"/>
        <v>1022672.316</v>
      </c>
      <c r="H28" s="19" t="str">
        <f t="shared" si="3"/>
        <v>2 h 07 min 50 s</v>
      </c>
      <c r="I28" s="20" t="str">
        <f t="shared" si="4"/>
        <v>0 h 51 min 31 s</v>
      </c>
      <c r="J28" s="14" t="str">
        <f t="shared" si="5"/>
        <v>12 h 41 min 24 s</v>
      </c>
      <c r="L28" s="21">
        <f t="shared" si="6"/>
        <v>7669.855818</v>
      </c>
      <c r="M28" s="21">
        <f t="shared" si="10"/>
        <v>45684.13491</v>
      </c>
      <c r="O28" s="23">
        <f t="shared" si="11"/>
        <v>113630.2573</v>
      </c>
    </row>
    <row r="29" ht="15.75" customHeight="1">
      <c r="B29" s="13">
        <v>28.0</v>
      </c>
      <c r="C29" s="16">
        <f t="shared" si="7"/>
        <v>413.5903063</v>
      </c>
      <c r="D29" s="16">
        <f t="shared" si="8"/>
        <v>1192533.293</v>
      </c>
      <c r="E29" s="16" t="str">
        <f t="shared" si="1"/>
        <v>0 h 48 min 03 s</v>
      </c>
      <c r="F29" s="19">
        <f t="shared" ref="F29:G29" si="36">F28*$A$8</f>
        <v>3806613.62</v>
      </c>
      <c r="G29" s="20">
        <f t="shared" si="36"/>
        <v>1534008.474</v>
      </c>
      <c r="H29" s="19" t="str">
        <f t="shared" si="3"/>
        <v>2 h 33 min 24 s</v>
      </c>
      <c r="I29" s="20" t="str">
        <f t="shared" si="4"/>
        <v>1 h 01 min 49 s</v>
      </c>
      <c r="J29" s="14" t="str">
        <f t="shared" si="5"/>
        <v>15 h 14 min 48 s</v>
      </c>
      <c r="L29" s="21">
        <f t="shared" si="6"/>
        <v>9203.826982</v>
      </c>
      <c r="M29" s="21">
        <f t="shared" si="10"/>
        <v>54887.96189</v>
      </c>
      <c r="O29" s="23">
        <f t="shared" si="11"/>
        <v>170445.386</v>
      </c>
    </row>
    <row r="30" ht="15.75" customHeight="1">
      <c r="B30" s="13">
        <v>29.0</v>
      </c>
      <c r="C30" s="16">
        <f t="shared" si="7"/>
        <v>516.9878828</v>
      </c>
      <c r="D30" s="16">
        <f t="shared" si="8"/>
        <v>1550293.28</v>
      </c>
      <c r="E30" s="16" t="str">
        <f t="shared" si="1"/>
        <v>0 h 49 min 59 s</v>
      </c>
      <c r="F30" s="19">
        <f t="shared" ref="F30:G30" si="37">F29*$A$8</f>
        <v>5709920.43</v>
      </c>
      <c r="G30" s="20">
        <f t="shared" si="37"/>
        <v>2301012.711</v>
      </c>
      <c r="H30" s="19" t="str">
        <f t="shared" si="3"/>
        <v>3 h 04 min 05 s</v>
      </c>
      <c r="I30" s="20" t="str">
        <f t="shared" si="4"/>
        <v>1 h 14 min 11 s</v>
      </c>
      <c r="J30" s="14" t="str">
        <f t="shared" si="5"/>
        <v>18 h 18 min 53 s</v>
      </c>
      <c r="L30" s="21">
        <f t="shared" si="6"/>
        <v>11044.59238</v>
      </c>
      <c r="M30" s="21">
        <f t="shared" si="10"/>
        <v>65932.55427</v>
      </c>
      <c r="O30" s="23">
        <f t="shared" si="11"/>
        <v>255668.079</v>
      </c>
    </row>
    <row r="31" ht="15.75" customHeight="1">
      <c r="B31" s="13">
        <v>30.0</v>
      </c>
      <c r="C31" s="16">
        <f t="shared" si="7"/>
        <v>646.2348536</v>
      </c>
      <c r="D31" s="16">
        <f t="shared" si="8"/>
        <v>2015381.264</v>
      </c>
      <c r="E31" s="16" t="str">
        <f t="shared" si="1"/>
        <v>0 h 51 min 59 s</v>
      </c>
      <c r="F31" s="19">
        <f t="shared" ref="F31:G31" si="38">F30*$A$8</f>
        <v>8564880.646</v>
      </c>
      <c r="G31" s="20">
        <f t="shared" si="38"/>
        <v>3451519.066</v>
      </c>
      <c r="H31" s="19" t="str">
        <f t="shared" si="3"/>
        <v>3 h 40 min 54 s</v>
      </c>
      <c r="I31" s="20" t="str">
        <f t="shared" si="4"/>
        <v>1 h 29 min 01 s</v>
      </c>
      <c r="J31" s="14" t="str">
        <f t="shared" si="5"/>
        <v>21 h 59 min 46 s</v>
      </c>
      <c r="L31" s="21">
        <f t="shared" si="6"/>
        <v>13253.51085</v>
      </c>
      <c r="M31" s="21">
        <f t="shared" si="10"/>
        <v>79186.06512</v>
      </c>
      <c r="O31" s="23">
        <f t="shared" si="11"/>
        <v>383502.1185</v>
      </c>
    </row>
    <row r="32" ht="15.75" customHeight="1">
      <c r="B32" s="13">
        <v>31.0</v>
      </c>
      <c r="C32" s="16">
        <f t="shared" si="7"/>
        <v>807.7935669</v>
      </c>
      <c r="D32" s="16">
        <f t="shared" si="8"/>
        <v>2619995.644</v>
      </c>
      <c r="E32" s="16" t="str">
        <f t="shared" si="1"/>
        <v>0 h 54 min 03 s</v>
      </c>
      <c r="F32" s="19">
        <f t="shared" ref="F32:G32" si="39">F31*$A$8</f>
        <v>12847320.97</v>
      </c>
      <c r="G32" s="20">
        <f t="shared" si="39"/>
        <v>5177278.599</v>
      </c>
      <c r="H32" s="19" t="str">
        <f t="shared" si="3"/>
        <v>4 h 25 min 04 s</v>
      </c>
      <c r="I32" s="20" t="str">
        <f t="shared" si="4"/>
        <v>1 h 46 min 49 s</v>
      </c>
      <c r="J32" s="14" t="str">
        <f t="shared" ref="J32:J100" si="41">INT(M32/86400) &amp; " d " &amp;
TEXT(MOD(M32,86400)/86400, "h"" h ""mm"" min ""ss"" s""")
</f>
        <v>1 d 2 h 24 min 50 s</v>
      </c>
      <c r="L32" s="21">
        <f t="shared" si="6"/>
        <v>15904.21302</v>
      </c>
      <c r="M32" s="21">
        <f t="shared" si="10"/>
        <v>95090.27815</v>
      </c>
      <c r="O32" s="23">
        <f t="shared" si="11"/>
        <v>575253.1777</v>
      </c>
    </row>
    <row r="33" ht="15.75" customHeight="1">
      <c r="B33" s="13">
        <v>32.0</v>
      </c>
      <c r="C33" s="16">
        <f t="shared" si="7"/>
        <v>1009.741959</v>
      </c>
      <c r="D33" s="16">
        <f t="shared" si="8"/>
        <v>3405994.337</v>
      </c>
      <c r="E33" s="16" t="str">
        <f t="shared" si="1"/>
        <v>0 h 56 min 13 s</v>
      </c>
      <c r="F33" s="19">
        <f t="shared" ref="F33:G33" si="40">F32*$A$8</f>
        <v>19270981.45</v>
      </c>
      <c r="G33" s="20">
        <f t="shared" si="40"/>
        <v>7765917.899</v>
      </c>
      <c r="H33" s="19" t="str">
        <f t="shared" si="3"/>
        <v>5 h 18 min 05 s</v>
      </c>
      <c r="I33" s="20" t="str">
        <f t="shared" si="4"/>
        <v>2 h 08 min 11 s</v>
      </c>
      <c r="J33" s="14" t="str">
        <f t="shared" si="41"/>
        <v>1 d 7 h 42 min 55 s</v>
      </c>
      <c r="L33" s="21">
        <f t="shared" si="6"/>
        <v>19085.05563</v>
      </c>
      <c r="M33" s="21">
        <f t="shared" si="10"/>
        <v>114175.3338</v>
      </c>
      <c r="O33" s="23">
        <f t="shared" si="11"/>
        <v>862879.7665</v>
      </c>
    </row>
    <row r="34" ht="15.75" customHeight="1">
      <c r="B34" s="13">
        <v>33.0</v>
      </c>
      <c r="C34" s="16">
        <f t="shared" si="7"/>
        <v>1262.177448</v>
      </c>
      <c r="D34" s="16">
        <f t="shared" si="8"/>
        <v>4427792.638</v>
      </c>
      <c r="E34" s="16" t="str">
        <f t="shared" si="1"/>
        <v>0 h 58 min 28 s</v>
      </c>
      <c r="F34" s="19">
        <f t="shared" ref="F34:G34" si="42">F33*$A$8</f>
        <v>28906472.18</v>
      </c>
      <c r="G34" s="20">
        <f t="shared" si="42"/>
        <v>11648876.85</v>
      </c>
      <c r="H34" s="19" t="str">
        <f t="shared" si="3"/>
        <v>6 h 21 min 42 s</v>
      </c>
      <c r="I34" s="20" t="str">
        <f t="shared" si="4"/>
        <v>2 h 33 min 49 s</v>
      </c>
      <c r="J34" s="14" t="str">
        <f t="shared" si="41"/>
        <v>1 d 14 h 04 min 37 s</v>
      </c>
      <c r="L34" s="21">
        <f t="shared" si="6"/>
        <v>22902.06676</v>
      </c>
      <c r="M34" s="21">
        <f t="shared" si="10"/>
        <v>137077.4005</v>
      </c>
      <c r="O34" s="23">
        <f t="shared" si="11"/>
        <v>1294319.65</v>
      </c>
    </row>
    <row r="35" ht="15.75" customHeight="1">
      <c r="B35" s="13">
        <v>34.0</v>
      </c>
      <c r="C35" s="16">
        <f t="shared" si="7"/>
        <v>1577.72181</v>
      </c>
      <c r="D35" s="16">
        <f t="shared" si="8"/>
        <v>5756130.429</v>
      </c>
      <c r="E35" s="16" t="str">
        <f t="shared" si="1"/>
        <v>1 h 00 min 48 s</v>
      </c>
      <c r="F35" s="19">
        <f t="shared" ref="F35:G35" si="43">F34*$A$8</f>
        <v>43359708.27</v>
      </c>
      <c r="G35" s="20">
        <f t="shared" si="43"/>
        <v>17473315.27</v>
      </c>
      <c r="H35" s="19" t="str">
        <f t="shared" si="3"/>
        <v>7 h 38 min 02 s</v>
      </c>
      <c r="I35" s="20" t="str">
        <f t="shared" si="4"/>
        <v>3 h 04 min 35 s</v>
      </c>
      <c r="J35" s="14" t="str">
        <f t="shared" si="41"/>
        <v>1 d 21 h 42 min 40 s</v>
      </c>
      <c r="L35" s="21">
        <f t="shared" si="6"/>
        <v>27482.48011</v>
      </c>
      <c r="M35" s="21">
        <f t="shared" si="10"/>
        <v>164559.8806</v>
      </c>
      <c r="O35" s="23">
        <f t="shared" si="11"/>
        <v>1941479.475</v>
      </c>
    </row>
    <row r="36" ht="15.75" customHeight="1">
      <c r="B36" s="13">
        <v>35.0</v>
      </c>
      <c r="C36" s="16">
        <f t="shared" si="7"/>
        <v>1972.152263</v>
      </c>
      <c r="D36" s="16">
        <f t="shared" si="8"/>
        <v>7482969.558</v>
      </c>
      <c r="E36" s="16" t="str">
        <f t="shared" si="1"/>
        <v>1 h 03 min 14 s</v>
      </c>
      <c r="F36" s="19">
        <f t="shared" ref="F36:G36" si="44">F35*$A$8</f>
        <v>65039562.4</v>
      </c>
      <c r="G36" s="20">
        <f t="shared" si="44"/>
        <v>26209972.91</v>
      </c>
      <c r="H36" s="19" t="str">
        <f t="shared" si="3"/>
        <v>9 h 09 min 39 s</v>
      </c>
      <c r="I36" s="20" t="str">
        <f t="shared" si="4"/>
        <v>3 h 41 min 30 s</v>
      </c>
      <c r="J36" s="14" t="str">
        <f t="shared" si="41"/>
        <v>2 d 6 h 52 min 19 s</v>
      </c>
      <c r="L36" s="21">
        <f t="shared" si="6"/>
        <v>32978.97613</v>
      </c>
      <c r="M36" s="21">
        <f t="shared" si="10"/>
        <v>197538.8568</v>
      </c>
      <c r="O36" s="23">
        <f t="shared" si="11"/>
        <v>2912219.212</v>
      </c>
    </row>
    <row r="37" ht="15.75" customHeight="1">
      <c r="B37" s="13">
        <v>36.0</v>
      </c>
      <c r="C37" s="16">
        <f t="shared" si="7"/>
        <v>2465.190329</v>
      </c>
      <c r="D37" s="16">
        <f t="shared" si="8"/>
        <v>9727860.425</v>
      </c>
      <c r="E37" s="16" t="str">
        <f t="shared" si="1"/>
        <v>1 h 05 min 46 s</v>
      </c>
      <c r="F37" s="19">
        <f t="shared" ref="F37:G37" si="45">F36*$A$8</f>
        <v>97559343.61</v>
      </c>
      <c r="G37" s="20">
        <f t="shared" si="45"/>
        <v>39314959.36</v>
      </c>
      <c r="H37" s="19" t="str">
        <f t="shared" si="3"/>
        <v>10 h 59 min 35 s</v>
      </c>
      <c r="I37" s="20" t="str">
        <f t="shared" si="4"/>
        <v>4 h 25 min 48 s</v>
      </c>
      <c r="J37" s="14" t="str">
        <f t="shared" si="41"/>
        <v>2 d 17 h 51 min 54 s</v>
      </c>
      <c r="L37" s="21">
        <f t="shared" si="6"/>
        <v>39574.77135</v>
      </c>
      <c r="M37" s="21">
        <f t="shared" si="10"/>
        <v>237113.6281</v>
      </c>
      <c r="O37" s="23">
        <f t="shared" si="11"/>
        <v>4368328.818</v>
      </c>
    </row>
    <row r="38" ht="15.75" customHeight="1">
      <c r="B38" s="13">
        <v>37.0</v>
      </c>
      <c r="C38" s="16">
        <f t="shared" si="7"/>
        <v>3081.487911</v>
      </c>
      <c r="D38" s="16">
        <f t="shared" si="8"/>
        <v>12646218.55</v>
      </c>
      <c r="E38" s="16" t="str">
        <f t="shared" si="1"/>
        <v>1 h 08 min 24 s</v>
      </c>
      <c r="F38" s="19">
        <f t="shared" ref="F38:G38" si="46">F37*$A$8</f>
        <v>146339015.4</v>
      </c>
      <c r="G38" s="20">
        <f t="shared" si="46"/>
        <v>58972439.05</v>
      </c>
      <c r="H38" s="19" t="str">
        <f t="shared" si="3"/>
        <v>13 h 11 min 30 s</v>
      </c>
      <c r="I38" s="20" t="str">
        <f t="shared" si="4"/>
        <v>5 h 18 min 58 s</v>
      </c>
      <c r="J38" s="14" t="str">
        <f t="shared" si="41"/>
        <v>3 d 7 h 03 min 23 s</v>
      </c>
      <c r="L38" s="21">
        <f t="shared" si="6"/>
        <v>47489.72562</v>
      </c>
      <c r="M38" s="21">
        <f t="shared" si="10"/>
        <v>284603.3537</v>
      </c>
      <c r="O38" s="23">
        <f t="shared" si="11"/>
        <v>6552493.227</v>
      </c>
    </row>
    <row r="39" ht="15.75" customHeight="1">
      <c r="B39" s="13">
        <v>38.0</v>
      </c>
      <c r="C39" s="16">
        <f t="shared" si="7"/>
        <v>3851.859889</v>
      </c>
      <c r="D39" s="16">
        <f t="shared" si="8"/>
        <v>16440084.12</v>
      </c>
      <c r="E39" s="16" t="str">
        <f t="shared" si="1"/>
        <v>1 h 11 min 08 s</v>
      </c>
      <c r="F39" s="19">
        <f t="shared" ref="F39:G39" si="47">F38*$A$8</f>
        <v>219508523.1</v>
      </c>
      <c r="G39" s="20">
        <f t="shared" si="47"/>
        <v>88458658.57</v>
      </c>
      <c r="H39" s="19" t="str">
        <f t="shared" si="3"/>
        <v>15 h 49 min 48 s</v>
      </c>
      <c r="I39" s="20" t="str">
        <f t="shared" si="4"/>
        <v>6 h 22 min 45 s</v>
      </c>
      <c r="J39" s="14" t="str">
        <f t="shared" si="41"/>
        <v>3 d 22 h 53 min 11 s</v>
      </c>
      <c r="L39" s="21">
        <f t="shared" si="6"/>
        <v>56987.67075</v>
      </c>
      <c r="M39" s="21">
        <f t="shared" si="10"/>
        <v>341591.0245</v>
      </c>
      <c r="O39" s="23">
        <f t="shared" si="11"/>
        <v>9828739.841</v>
      </c>
    </row>
    <row r="40" ht="15.75" customHeight="1">
      <c r="B40" s="13">
        <v>39.0</v>
      </c>
      <c r="C40" s="16">
        <f t="shared" si="7"/>
        <v>4814.824861</v>
      </c>
      <c r="D40" s="16">
        <f t="shared" si="8"/>
        <v>21372109.35</v>
      </c>
      <c r="E40" s="16" t="str">
        <f t="shared" si="1"/>
        <v>1 h 13 min 59 s</v>
      </c>
      <c r="F40" s="19">
        <f t="shared" ref="F40:G40" si="48">F39*$A$8</f>
        <v>329262784.7</v>
      </c>
      <c r="G40" s="20">
        <f t="shared" si="48"/>
        <v>132687987.9</v>
      </c>
      <c r="H40" s="19" t="str">
        <f t="shared" si="3"/>
        <v>18 h 59 min 45 s</v>
      </c>
      <c r="I40" s="20" t="str">
        <f t="shared" si="4"/>
        <v>7 h 39 min 18 s</v>
      </c>
      <c r="J40" s="14" t="str">
        <f t="shared" si="41"/>
        <v>4 d 17 h 52 min 56 s</v>
      </c>
      <c r="L40" s="21">
        <f t="shared" si="6"/>
        <v>68385.2049</v>
      </c>
      <c r="M40" s="21">
        <f t="shared" si="10"/>
        <v>409976.2294</v>
      </c>
      <c r="O40" s="23">
        <f t="shared" si="11"/>
        <v>14743109.76</v>
      </c>
    </row>
    <row r="41" ht="15.75" customHeight="1">
      <c r="B41" s="13">
        <v>40.0</v>
      </c>
      <c r="C41" s="16">
        <f t="shared" si="7"/>
        <v>6018.531076</v>
      </c>
      <c r="D41" s="16">
        <f t="shared" si="8"/>
        <v>27783742.16</v>
      </c>
      <c r="E41" s="16" t="str">
        <f t="shared" si="1"/>
        <v>1 h 16 min 56 s</v>
      </c>
      <c r="F41" s="19">
        <f t="shared" ref="F41:G41" si="49">F40*$A$8</f>
        <v>493894177</v>
      </c>
      <c r="G41" s="20">
        <f t="shared" si="49"/>
        <v>199031981.8</v>
      </c>
      <c r="H41" s="19" t="str">
        <f t="shared" si="3"/>
        <v>22 h 47 min 42 s</v>
      </c>
      <c r="I41" s="20" t="str">
        <f t="shared" si="4"/>
        <v>9 h 11 min 10 s</v>
      </c>
      <c r="J41" s="14" t="str">
        <f t="shared" si="41"/>
        <v>5 d 16 h 40 min 38 s</v>
      </c>
      <c r="L41" s="21">
        <f t="shared" si="6"/>
        <v>82062.24588</v>
      </c>
      <c r="M41" s="21">
        <f t="shared" si="10"/>
        <v>492038.4753</v>
      </c>
      <c r="O41" s="23">
        <f t="shared" si="11"/>
        <v>22114664.64</v>
      </c>
    </row>
    <row r="42" ht="15.75" customHeight="1">
      <c r="B42" s="13">
        <v>41.0</v>
      </c>
      <c r="C42" s="16">
        <f t="shared" si="7"/>
        <v>7523.163845</v>
      </c>
      <c r="D42" s="16">
        <f t="shared" si="8"/>
        <v>36118864.81</v>
      </c>
      <c r="E42" s="16" t="str">
        <f t="shared" si="1"/>
        <v>1 h 20 min 01 s</v>
      </c>
      <c r="F42" s="19">
        <f t="shared" ref="F42:G42" si="50">F41*$A$8</f>
        <v>740841265.5</v>
      </c>
      <c r="G42" s="20">
        <f t="shared" si="50"/>
        <v>298547972.7</v>
      </c>
      <c r="H42" s="19" t="str">
        <f t="shared" si="3"/>
        <v>27 h 21 min 15 s</v>
      </c>
      <c r="I42" s="20" t="str">
        <f t="shared" si="4"/>
        <v>11 h 01 min 24 s</v>
      </c>
      <c r="J42" s="14" t="str">
        <f t="shared" si="41"/>
        <v>6 d 20 h 01 min 53 s</v>
      </c>
      <c r="L42" s="21">
        <f t="shared" si="6"/>
        <v>98474.69505</v>
      </c>
      <c r="M42" s="21">
        <f t="shared" si="10"/>
        <v>590513.1703</v>
      </c>
      <c r="O42" s="23">
        <f t="shared" si="11"/>
        <v>33171996.96</v>
      </c>
    </row>
    <row r="43" ht="15.75" customHeight="1">
      <c r="B43" s="13">
        <v>42.0</v>
      </c>
      <c r="C43" s="16">
        <f t="shared" si="7"/>
        <v>9403.954807</v>
      </c>
      <c r="D43" s="16">
        <f t="shared" si="8"/>
        <v>46954524.25</v>
      </c>
      <c r="E43" s="16" t="str">
        <f t="shared" si="1"/>
        <v>1 h 23 min 13 s</v>
      </c>
      <c r="F43" s="19">
        <f t="shared" ref="F43:G43" si="51">F42*$A$8</f>
        <v>1111261898</v>
      </c>
      <c r="G43" s="20">
        <f t="shared" si="51"/>
        <v>447821959</v>
      </c>
      <c r="H43" s="19" t="str">
        <f t="shared" si="3"/>
        <v>32 h 49 min 30 s</v>
      </c>
      <c r="I43" s="20" t="str">
        <f t="shared" si="4"/>
        <v>13 h 13 min 41 s</v>
      </c>
      <c r="J43" s="14" t="str">
        <f t="shared" si="41"/>
        <v>8 d 4 h 51 min 23 s</v>
      </c>
      <c r="L43" s="21">
        <f t="shared" si="6"/>
        <v>118169.6341</v>
      </c>
      <c r="M43" s="21">
        <f t="shared" si="10"/>
        <v>708682.8044</v>
      </c>
      <c r="O43" s="23">
        <f t="shared" si="11"/>
        <v>49757995.44</v>
      </c>
    </row>
    <row r="44" ht="15.75" customHeight="1">
      <c r="B44" s="13">
        <v>43.0</v>
      </c>
      <c r="C44" s="16">
        <f t="shared" si="7"/>
        <v>11754.94351</v>
      </c>
      <c r="D44" s="16">
        <f t="shared" si="8"/>
        <v>61040881.53</v>
      </c>
      <c r="E44" s="16" t="str">
        <f t="shared" si="1"/>
        <v>1 h 26 min 33 s</v>
      </c>
      <c r="F44" s="19">
        <f t="shared" ref="F44:G44" si="52">F43*$A$8</f>
        <v>1666892847</v>
      </c>
      <c r="G44" s="20">
        <f t="shared" si="52"/>
        <v>671732938.5</v>
      </c>
      <c r="H44" s="19" t="str">
        <f t="shared" si="3"/>
        <v>39 h 23 min 24 s</v>
      </c>
      <c r="I44" s="20" t="str">
        <f t="shared" si="4"/>
        <v>15 h 52 min 25 s</v>
      </c>
      <c r="J44" s="14" t="str">
        <f t="shared" si="41"/>
        <v>9 d 20 h 14 min 46 s</v>
      </c>
      <c r="L44" s="21">
        <f t="shared" si="6"/>
        <v>141803.5609</v>
      </c>
      <c r="M44" s="21">
        <f t="shared" si="10"/>
        <v>850486.3653</v>
      </c>
      <c r="O44" s="23">
        <f t="shared" si="11"/>
        <v>74636993.17</v>
      </c>
    </row>
    <row r="45" ht="15.75" customHeight="1">
      <c r="B45" s="13">
        <v>44.0</v>
      </c>
      <c r="C45" s="16">
        <f t="shared" si="7"/>
        <v>14693.67939</v>
      </c>
      <c r="D45" s="16">
        <f t="shared" si="8"/>
        <v>79353145.98</v>
      </c>
      <c r="E45" s="16" t="str">
        <f t="shared" si="1"/>
        <v>1 h 30 min 00 s</v>
      </c>
      <c r="F45" s="19">
        <f t="shared" ref="F45:G45" si="53">F44*$A$8</f>
        <v>2500339271</v>
      </c>
      <c r="G45" s="20">
        <f t="shared" si="53"/>
        <v>1007599408</v>
      </c>
      <c r="H45" s="19" t="str">
        <f t="shared" si="3"/>
        <v>47 h 16 min 04 s</v>
      </c>
      <c r="I45" s="20" t="str">
        <f t="shared" si="4"/>
        <v>19 h 02 min 54 s</v>
      </c>
      <c r="J45" s="14" t="str">
        <f t="shared" si="41"/>
        <v>11 d 19 h 30 min 51 s</v>
      </c>
      <c r="L45" s="21">
        <f t="shared" si="6"/>
        <v>170164.2731</v>
      </c>
      <c r="M45" s="21">
        <f t="shared" si="10"/>
        <v>1020650.638</v>
      </c>
      <c r="O45" s="23">
        <f t="shared" si="11"/>
        <v>111955489.7</v>
      </c>
    </row>
    <row r="46" ht="15.75" customHeight="1">
      <c r="B46" s="13">
        <v>45.0</v>
      </c>
      <c r="C46" s="16">
        <f t="shared" si="7"/>
        <v>18367.09923</v>
      </c>
      <c r="D46" s="16">
        <f t="shared" si="8"/>
        <v>103159089.8</v>
      </c>
      <c r="E46" s="16" t="str">
        <f t="shared" si="1"/>
        <v>1 h 33 min 37 s</v>
      </c>
      <c r="F46" s="19">
        <f t="shared" ref="F46:G46" si="54">F45*$A$8</f>
        <v>3750508907</v>
      </c>
      <c r="G46" s="20">
        <f t="shared" si="54"/>
        <v>1511399112</v>
      </c>
      <c r="H46" s="19" t="str">
        <f t="shared" si="3"/>
        <v>56 h 43 min 17 s</v>
      </c>
      <c r="I46" s="20" t="str">
        <f t="shared" si="4"/>
        <v>22 h 51 min 28 s</v>
      </c>
      <c r="J46" s="14" t="str">
        <f t="shared" si="41"/>
        <v>14 d 4 h 14 min 08 s</v>
      </c>
      <c r="L46" s="21">
        <f t="shared" si="6"/>
        <v>204197.1277</v>
      </c>
      <c r="M46" s="21">
        <f t="shared" si="10"/>
        <v>1224847.766</v>
      </c>
      <c r="O46" s="23">
        <f t="shared" si="11"/>
        <v>167933234.6</v>
      </c>
    </row>
    <row r="47" ht="15.75" customHeight="1">
      <c r="B47" s="13">
        <v>46.0</v>
      </c>
      <c r="C47" s="16">
        <f t="shared" si="7"/>
        <v>22958.87404</v>
      </c>
      <c r="D47" s="16">
        <f t="shared" si="8"/>
        <v>134106816.7</v>
      </c>
      <c r="E47" s="16" t="str">
        <f t="shared" si="1"/>
        <v>1 h 37 min 21 s</v>
      </c>
      <c r="F47" s="19">
        <f t="shared" ref="F47:G47" si="55">F46*$A$8</f>
        <v>5625763360</v>
      </c>
      <c r="G47" s="20">
        <f t="shared" si="55"/>
        <v>2267098667</v>
      </c>
      <c r="H47" s="19" t="str">
        <f t="shared" si="3"/>
        <v>68 h 03 min 57 s</v>
      </c>
      <c r="I47" s="20" t="str">
        <f t="shared" si="4"/>
        <v>27 h 25 min 46 s</v>
      </c>
      <c r="J47" s="14" t="str">
        <f t="shared" si="41"/>
        <v>17 d 0 h 18 min 04 s</v>
      </c>
      <c r="L47" s="21">
        <f t="shared" si="6"/>
        <v>245036.5532</v>
      </c>
      <c r="M47" s="21">
        <f t="shared" si="10"/>
        <v>1469884.319</v>
      </c>
      <c r="O47" s="23">
        <f t="shared" si="11"/>
        <v>251899851.9</v>
      </c>
    </row>
    <row r="48" ht="15.75" customHeight="1">
      <c r="B48" s="13">
        <v>47.0</v>
      </c>
      <c r="C48" s="16">
        <f t="shared" si="7"/>
        <v>28698.59255</v>
      </c>
      <c r="D48" s="16">
        <f t="shared" si="8"/>
        <v>174338861.7</v>
      </c>
      <c r="E48" s="16" t="str">
        <f t="shared" si="1"/>
        <v>1 h 41 min 15 s</v>
      </c>
      <c r="F48" s="19">
        <f t="shared" ref="F48:G48" si="56">F47*$A$8</f>
        <v>8438645040</v>
      </c>
      <c r="G48" s="20">
        <f t="shared" si="56"/>
        <v>3400648001</v>
      </c>
      <c r="H48" s="19" t="str">
        <f t="shared" si="3"/>
        <v>81 h 40 min 44 s</v>
      </c>
      <c r="I48" s="20" t="str">
        <f t="shared" si="4"/>
        <v>32 h 54 min 55 s</v>
      </c>
      <c r="J48" s="14" t="str">
        <f t="shared" si="41"/>
        <v>20 d 9 h 58 min 48 s</v>
      </c>
      <c r="L48" s="21">
        <f t="shared" si="6"/>
        <v>294043.8638</v>
      </c>
      <c r="M48" s="21">
        <f t="shared" si="10"/>
        <v>1763928.183</v>
      </c>
      <c r="O48" s="23">
        <f t="shared" si="11"/>
        <v>377849777.9</v>
      </c>
    </row>
    <row r="49" ht="15.75" customHeight="1">
      <c r="B49" s="13">
        <v>48.0</v>
      </c>
      <c r="C49" s="16">
        <f t="shared" si="7"/>
        <v>35873.24069</v>
      </c>
      <c r="D49" s="16">
        <f t="shared" si="8"/>
        <v>226640520.2</v>
      </c>
      <c r="E49" s="16" t="str">
        <f t="shared" si="1"/>
        <v>1 h 45 min 18 s</v>
      </c>
      <c r="F49" s="19">
        <f t="shared" ref="F49:G49" si="57">F48*$A$8</f>
        <v>12657967560</v>
      </c>
      <c r="G49" s="20">
        <f t="shared" si="57"/>
        <v>5100972002</v>
      </c>
      <c r="H49" s="19" t="str">
        <f t="shared" si="3"/>
        <v>98 h 00 min 53 s</v>
      </c>
      <c r="I49" s="20" t="str">
        <f t="shared" si="4"/>
        <v>39 h 29 min 54 s</v>
      </c>
      <c r="J49" s="14" t="str">
        <f t="shared" si="41"/>
        <v>24 d 11 h 59 min 41 s</v>
      </c>
      <c r="L49" s="21">
        <f t="shared" si="6"/>
        <v>352852.6366</v>
      </c>
      <c r="M49" s="21">
        <f t="shared" si="10"/>
        <v>2116780.82</v>
      </c>
      <c r="O49" s="23">
        <f t="shared" si="11"/>
        <v>566774666.9</v>
      </c>
    </row>
    <row r="50" ht="15.75" customHeight="1">
      <c r="B50" s="13">
        <v>49.0</v>
      </c>
      <c r="C50" s="16">
        <f t="shared" si="7"/>
        <v>44841.55086</v>
      </c>
      <c r="D50" s="16">
        <f t="shared" si="8"/>
        <v>294632676.3</v>
      </c>
      <c r="E50" s="16" t="str">
        <f t="shared" si="1"/>
        <v>1 h 49 min 31 s</v>
      </c>
      <c r="F50" s="19">
        <f t="shared" ref="F50:G50" si="58">F49*$A$8</f>
        <v>18986951340</v>
      </c>
      <c r="G50" s="20">
        <f t="shared" si="58"/>
        <v>7651458003</v>
      </c>
      <c r="H50" s="19" t="str">
        <f t="shared" si="3"/>
        <v>117 h 37 min 03 s</v>
      </c>
      <c r="I50" s="20" t="str">
        <f t="shared" si="4"/>
        <v>47 h 23 min 53 s</v>
      </c>
      <c r="J50" s="14" t="str">
        <f t="shared" si="41"/>
        <v>29 d 9 h 36 min 44 s</v>
      </c>
      <c r="L50" s="21">
        <f t="shared" si="6"/>
        <v>423423.1639</v>
      </c>
      <c r="M50" s="21">
        <f t="shared" si="10"/>
        <v>2540203.984</v>
      </c>
      <c r="O50" s="23">
        <f t="shared" si="11"/>
        <v>850162000.3</v>
      </c>
    </row>
    <row r="51" ht="15.75" customHeight="1">
      <c r="B51" s="13">
        <v>50.0</v>
      </c>
      <c r="C51" s="16">
        <f t="shared" si="7"/>
        <v>56051.93857</v>
      </c>
      <c r="D51" s="16">
        <f t="shared" si="8"/>
        <v>383022479.2</v>
      </c>
      <c r="E51" s="16" t="str">
        <f t="shared" si="1"/>
        <v>1 h 53 min 53 s</v>
      </c>
      <c r="F51" s="19">
        <f t="shared" ref="F51:G51" si="59">F50*$A$8</f>
        <v>28480427010</v>
      </c>
      <c r="G51" s="20">
        <f t="shared" si="59"/>
        <v>11477187004</v>
      </c>
      <c r="H51" s="19" t="str">
        <f t="shared" si="3"/>
        <v>141 h 08 min 28 s</v>
      </c>
      <c r="I51" s="20" t="str">
        <f t="shared" si="4"/>
        <v>56 h 52 min 40 s</v>
      </c>
      <c r="J51" s="14" t="str">
        <f t="shared" si="41"/>
        <v>35 d 6 h 45 min 12 s</v>
      </c>
      <c r="L51" s="21">
        <f t="shared" si="6"/>
        <v>508107.7967</v>
      </c>
      <c r="M51" s="21">
        <f t="shared" si="10"/>
        <v>3048311.78</v>
      </c>
      <c r="O51" s="23">
        <f t="shared" si="11"/>
        <v>1275243000</v>
      </c>
    </row>
    <row r="52" ht="15.75" customHeight="1">
      <c r="B52" s="13">
        <v>51.0</v>
      </c>
      <c r="C52" s="16">
        <f t="shared" si="7"/>
        <v>70064.92322</v>
      </c>
      <c r="D52" s="16">
        <f t="shared" si="8"/>
        <v>497929223</v>
      </c>
      <c r="E52" s="16" t="str">
        <f t="shared" si="1"/>
        <v>1 h 58 min 27 s</v>
      </c>
      <c r="F52" s="19">
        <f t="shared" ref="F52:G52" si="60">F51*$A$8</f>
        <v>42720640514</v>
      </c>
      <c r="G52" s="20">
        <f t="shared" si="60"/>
        <v>17215780506</v>
      </c>
      <c r="H52" s="19" t="str">
        <f t="shared" si="3"/>
        <v>169 h 22 min 09 s</v>
      </c>
      <c r="I52" s="20" t="str">
        <f t="shared" si="4"/>
        <v>68 h 15 min 12 s</v>
      </c>
      <c r="J52" s="14" t="str">
        <f t="shared" si="41"/>
        <v>42 d 8 h 07 min 21 s</v>
      </c>
      <c r="L52" s="21">
        <f t="shared" si="6"/>
        <v>609729.3561</v>
      </c>
      <c r="M52" s="21">
        <f t="shared" si="10"/>
        <v>3658041.136</v>
      </c>
      <c r="O52" s="23">
        <f t="shared" si="11"/>
        <v>1912864501</v>
      </c>
    </row>
    <row r="53" ht="15.75" customHeight="1">
      <c r="B53" s="13">
        <v>52.0</v>
      </c>
      <c r="C53" s="16">
        <f t="shared" si="7"/>
        <v>87581.15402</v>
      </c>
      <c r="D53" s="16">
        <f t="shared" si="8"/>
        <v>647307989.9</v>
      </c>
      <c r="E53" s="16" t="str">
        <f t="shared" si="1"/>
        <v>2 h 03 min 11 s</v>
      </c>
      <c r="F53" s="19">
        <f t="shared" ref="F53:G53" si="61">F52*$A$8</f>
        <v>64080960772</v>
      </c>
      <c r="G53" s="20">
        <f t="shared" si="61"/>
        <v>25823670759</v>
      </c>
      <c r="H53" s="19" t="str">
        <f t="shared" si="3"/>
        <v>203 h 14 min 35 s</v>
      </c>
      <c r="I53" s="20" t="str">
        <f t="shared" si="4"/>
        <v>81 h 54 min 14 s</v>
      </c>
      <c r="J53" s="14" t="str">
        <f t="shared" si="41"/>
        <v>50 d 19 h 21 min 56 s</v>
      </c>
      <c r="L53" s="21">
        <f t="shared" si="6"/>
        <v>731675.2273</v>
      </c>
      <c r="M53" s="21">
        <f t="shared" si="10"/>
        <v>4389716.364</v>
      </c>
      <c r="O53" s="23">
        <f t="shared" si="11"/>
        <v>2869296751</v>
      </c>
    </row>
    <row r="54" ht="15.75" customHeight="1">
      <c r="B54" s="13">
        <v>53.0</v>
      </c>
      <c r="C54" s="16">
        <f t="shared" si="7"/>
        <v>109476.4425</v>
      </c>
      <c r="D54" s="16">
        <f t="shared" si="8"/>
        <v>841500386.8</v>
      </c>
      <c r="E54" s="16" t="str">
        <f t="shared" si="1"/>
        <v>2 h 08 min 07 s</v>
      </c>
      <c r="F54" s="19">
        <f t="shared" ref="F54:G54" si="62">F53*$A$8</f>
        <v>96121441157</v>
      </c>
      <c r="G54" s="20">
        <f t="shared" si="62"/>
        <v>38735506138</v>
      </c>
      <c r="H54" s="19" t="str">
        <f t="shared" si="3"/>
        <v>243 h 53 min 30 s</v>
      </c>
      <c r="I54" s="20" t="str">
        <f t="shared" si="4"/>
        <v>98 h 17 min 05 s</v>
      </c>
      <c r="J54" s="14" t="str">
        <f t="shared" si="41"/>
        <v>60 d 23 h 15 min 27 s</v>
      </c>
      <c r="L54" s="21">
        <f t="shared" si="6"/>
        <v>878010.2727</v>
      </c>
      <c r="M54" s="21">
        <f t="shared" si="10"/>
        <v>5267726.636</v>
      </c>
      <c r="O54" s="23">
        <f t="shared" si="11"/>
        <v>4303945126</v>
      </c>
    </row>
    <row r="55" ht="15.75" customHeight="1">
      <c r="B55" s="13">
        <v>54.0</v>
      </c>
      <c r="C55" s="16">
        <f t="shared" si="7"/>
        <v>136845.5532</v>
      </c>
      <c r="D55" s="16">
        <f t="shared" si="8"/>
        <v>1093950503</v>
      </c>
      <c r="E55" s="16" t="str">
        <f t="shared" si="1"/>
        <v>2 h 13 min 14 s</v>
      </c>
      <c r="F55" s="19">
        <f t="shared" ref="F55:G55" si="63">F54*$A$8</f>
        <v>144182161736</v>
      </c>
      <c r="G55" s="20">
        <f t="shared" si="63"/>
        <v>58103259207</v>
      </c>
      <c r="H55" s="19" t="str">
        <f t="shared" si="3"/>
        <v>292 h 40 min 12 s</v>
      </c>
      <c r="I55" s="20" t="str">
        <f t="shared" si="4"/>
        <v>117 h 56 min 30 s</v>
      </c>
      <c r="J55" s="14" t="str">
        <f t="shared" si="41"/>
        <v>73 d 3 h 55 min 39 s</v>
      </c>
      <c r="L55" s="21">
        <f t="shared" si="6"/>
        <v>1053612.327</v>
      </c>
      <c r="M55" s="21">
        <f t="shared" si="10"/>
        <v>6321338.964</v>
      </c>
      <c r="O55" s="23">
        <f t="shared" si="11"/>
        <v>6455917690</v>
      </c>
    </row>
    <row r="56" ht="15.75" customHeight="1">
      <c r="B56" s="13">
        <v>55.0</v>
      </c>
      <c r="C56" s="16">
        <f t="shared" si="7"/>
        <v>171056.9414</v>
      </c>
      <c r="D56" s="16">
        <f t="shared" si="8"/>
        <v>1422135654</v>
      </c>
      <c r="E56" s="16" t="str">
        <f t="shared" si="1"/>
        <v>2 h 18 min 34 s</v>
      </c>
      <c r="F56" s="19">
        <f t="shared" ref="F56:G56" si="64">F55*$A$8</f>
        <v>216273242604</v>
      </c>
      <c r="G56" s="20">
        <f t="shared" si="64"/>
        <v>87154888811</v>
      </c>
      <c r="H56" s="19" t="str">
        <f t="shared" si="3"/>
        <v>351 h 12 min 15 s</v>
      </c>
      <c r="I56" s="20" t="str">
        <f t="shared" si="4"/>
        <v>141 h 31 min 48 s</v>
      </c>
      <c r="J56" s="14" t="str">
        <f t="shared" si="41"/>
        <v>87 d 19 h 07 min 54 s</v>
      </c>
      <c r="L56" s="21">
        <f t="shared" si="6"/>
        <v>1264334.793</v>
      </c>
      <c r="M56" s="21">
        <f t="shared" si="10"/>
        <v>7585673.756</v>
      </c>
      <c r="O56" s="23">
        <f t="shared" si="11"/>
        <v>9683876535</v>
      </c>
    </row>
    <row r="57" ht="15.75" customHeight="1">
      <c r="B57" s="13">
        <v>56.0</v>
      </c>
      <c r="C57" s="16">
        <f t="shared" si="7"/>
        <v>213821.1768</v>
      </c>
      <c r="D57" s="16">
        <f t="shared" si="8"/>
        <v>1848776350</v>
      </c>
      <c r="E57" s="16" t="str">
        <f t="shared" si="1"/>
        <v>2 h 24 min 06 s</v>
      </c>
      <c r="F57" s="19">
        <f t="shared" ref="F57:G57" si="65">F56*$A$8</f>
        <v>324409863906</v>
      </c>
      <c r="G57" s="20">
        <f t="shared" si="65"/>
        <v>130732333216</v>
      </c>
      <c r="H57" s="19" t="str">
        <f t="shared" si="3"/>
        <v>421 h 26 min 42 s</v>
      </c>
      <c r="I57" s="20" t="str">
        <f t="shared" si="4"/>
        <v>169 h 50 min 10 s</v>
      </c>
      <c r="J57" s="14" t="str">
        <f t="shared" si="41"/>
        <v>105 d 8 h 34 min 36 s</v>
      </c>
      <c r="L57" s="21">
        <f t="shared" si="6"/>
        <v>1517201.751</v>
      </c>
      <c r="M57" s="21">
        <f t="shared" si="10"/>
        <v>9102875.507</v>
      </c>
      <c r="O57" s="23">
        <f t="shared" si="11"/>
        <v>14525814802</v>
      </c>
    </row>
    <row r="58" ht="15.75" customHeight="1">
      <c r="B58" s="13">
        <v>57.0</v>
      </c>
      <c r="C58" s="16">
        <f t="shared" si="7"/>
        <v>267276.471</v>
      </c>
      <c r="D58" s="16">
        <f t="shared" si="8"/>
        <v>2403409255</v>
      </c>
      <c r="E58" s="16" t="str">
        <f t="shared" si="1"/>
        <v>2 h 29 min 52 s</v>
      </c>
      <c r="F58" s="19">
        <f t="shared" ref="F58:G58" si="66">F57*$A$8</f>
        <v>486614795859</v>
      </c>
      <c r="G58" s="20">
        <f t="shared" si="66"/>
        <v>196098499824</v>
      </c>
      <c r="H58" s="19" t="str">
        <f t="shared" si="3"/>
        <v>505 h 44 min 02 s</v>
      </c>
      <c r="I58" s="20" t="str">
        <f t="shared" si="4"/>
        <v>203 h 48 min 12 s</v>
      </c>
      <c r="J58" s="14" t="str">
        <f t="shared" si="41"/>
        <v>126 d 10 h 18 min 38 s</v>
      </c>
      <c r="L58" s="21">
        <f t="shared" si="6"/>
        <v>1820642.101</v>
      </c>
      <c r="M58" s="21">
        <f t="shared" si="10"/>
        <v>10923517.61</v>
      </c>
      <c r="O58" s="23">
        <f t="shared" si="11"/>
        <v>21788722203</v>
      </c>
    </row>
    <row r="59" ht="15.75" customHeight="1">
      <c r="B59" s="13">
        <v>58.0</v>
      </c>
      <c r="C59" s="16">
        <f t="shared" si="7"/>
        <v>334095.5888</v>
      </c>
      <c r="D59" s="16">
        <f t="shared" si="8"/>
        <v>3124432031</v>
      </c>
      <c r="E59" s="16" t="str">
        <f t="shared" si="1"/>
        <v>2 h 35 min 52 s</v>
      </c>
      <c r="F59" s="19">
        <f t="shared" ref="F59:G59" si="67">F58*$A$8</f>
        <v>729922193788</v>
      </c>
      <c r="G59" s="20">
        <f t="shared" si="67"/>
        <v>294147749735</v>
      </c>
      <c r="H59" s="19" t="str">
        <f t="shared" si="3"/>
        <v>606 h 52 min 51 s</v>
      </c>
      <c r="I59" s="20" t="str">
        <f t="shared" si="4"/>
        <v>244 h 33 min 50 s</v>
      </c>
      <c r="J59" s="14" t="str">
        <f t="shared" si="41"/>
        <v>151 d 17 h 11 min 28 s</v>
      </c>
      <c r="L59" s="21">
        <f t="shared" si="6"/>
        <v>2184770.522</v>
      </c>
      <c r="M59" s="21">
        <f t="shared" si="10"/>
        <v>13108288.13</v>
      </c>
      <c r="O59" s="23">
        <f t="shared" si="11"/>
        <v>32683083304</v>
      </c>
    </row>
    <row r="60" ht="15.75" customHeight="1">
      <c r="B60" s="13">
        <v>59.0</v>
      </c>
      <c r="C60" s="16">
        <f t="shared" si="7"/>
        <v>417619.486</v>
      </c>
      <c r="D60" s="16">
        <f t="shared" si="8"/>
        <v>4061761641</v>
      </c>
      <c r="E60" s="16" t="str">
        <f t="shared" si="1"/>
        <v>2 h 42 min 06 s</v>
      </c>
      <c r="F60" s="19">
        <f t="shared" ref="F60:G60" si="68">F59*$A$8</f>
        <v>1094883290682</v>
      </c>
      <c r="G60" s="20">
        <f t="shared" si="68"/>
        <v>441221624603</v>
      </c>
      <c r="H60" s="19" t="str">
        <f t="shared" si="3"/>
        <v>728 h 15 min 25 s</v>
      </c>
      <c r="I60" s="20" t="str">
        <f t="shared" si="4"/>
        <v>293 h 28 min 36 s</v>
      </c>
      <c r="J60" s="14" t="str">
        <f t="shared" si="41"/>
        <v>182 d 1 h 26 min 53 s</v>
      </c>
      <c r="L60" s="21">
        <f t="shared" si="6"/>
        <v>2621724.626</v>
      </c>
      <c r="M60" s="21">
        <f t="shared" si="10"/>
        <v>15730012.76</v>
      </c>
      <c r="O60" s="23">
        <f t="shared" si="11"/>
        <v>49024624956</v>
      </c>
    </row>
    <row r="61" ht="15.75" customHeight="1">
      <c r="B61" s="13">
        <v>60.0</v>
      </c>
      <c r="C61" s="16">
        <f t="shared" si="7"/>
        <v>522024.3574</v>
      </c>
      <c r="D61" s="16">
        <f t="shared" si="8"/>
        <v>5280290133</v>
      </c>
      <c r="E61" s="16" t="str">
        <f t="shared" si="1"/>
        <v>2 h 48 min 35 s</v>
      </c>
      <c r="F61" s="19">
        <f t="shared" ref="F61:G61" si="69">F60*$A$8</f>
        <v>1642324936023</v>
      </c>
      <c r="G61" s="20">
        <f t="shared" si="69"/>
        <v>661832436905</v>
      </c>
      <c r="H61" s="19" t="str">
        <f t="shared" si="3"/>
        <v>873 h 54 min 30 s</v>
      </c>
      <c r="I61" s="20" t="str">
        <f t="shared" si="4"/>
        <v>352 h 10 min 19 s</v>
      </c>
      <c r="J61" s="14" t="str">
        <f t="shared" si="41"/>
        <v>218 d 11 h 21 min 22 s</v>
      </c>
      <c r="L61" s="21">
        <f t="shared" si="6"/>
        <v>3146069.551</v>
      </c>
      <c r="M61" s="21">
        <f t="shared" si="10"/>
        <v>18876082.31</v>
      </c>
      <c r="O61" s="23">
        <f t="shared" si="11"/>
        <v>73536937434</v>
      </c>
    </row>
    <row r="62" ht="15.75" customHeight="1">
      <c r="B62" s="13">
        <v>61.0</v>
      </c>
      <c r="C62" s="16">
        <f t="shared" si="7"/>
        <v>652530.4468</v>
      </c>
      <c r="D62" s="16">
        <f t="shared" si="8"/>
        <v>6864377173</v>
      </c>
      <c r="E62" s="16" t="str">
        <f t="shared" si="1"/>
        <v>2 h 55 min 20 s</v>
      </c>
      <c r="F62" s="19">
        <f t="shared" ref="F62:G62" si="70">F61*$A$8</f>
        <v>2463487404035</v>
      </c>
      <c r="G62" s="20">
        <f t="shared" si="70"/>
        <v>992748655357</v>
      </c>
      <c r="H62" s="19" t="str">
        <f t="shared" si="3"/>
        <v>1048 h 41 min 23 s</v>
      </c>
      <c r="I62" s="20" t="str">
        <f t="shared" si="4"/>
        <v>422 h 36 min 23 s</v>
      </c>
      <c r="J62" s="14" t="str">
        <f t="shared" si="41"/>
        <v>262 d 4 h 02 min 46 s</v>
      </c>
      <c r="L62" s="21">
        <f t="shared" si="6"/>
        <v>3775283.462</v>
      </c>
      <c r="M62" s="21">
        <f t="shared" si="10"/>
        <v>22651365.77</v>
      </c>
      <c r="O62" s="23">
        <f t="shared" si="11"/>
        <v>110305406151</v>
      </c>
    </row>
    <row r="63" ht="15.75" customHeight="1">
      <c r="B63" s="13">
        <v>62.0</v>
      </c>
      <c r="C63" s="16">
        <f t="shared" si="7"/>
        <v>815663.0585</v>
      </c>
      <c r="D63" s="16">
        <f t="shared" si="8"/>
        <v>8923690325</v>
      </c>
      <c r="E63" s="16" t="str">
        <f t="shared" si="1"/>
        <v>3 h 02 min 20 s</v>
      </c>
      <c r="F63" s="19">
        <f t="shared" ref="F63:G63" si="71">F62*$A$8</f>
        <v>3695231106052</v>
      </c>
      <c r="G63" s="20">
        <f t="shared" si="71"/>
        <v>1489122983036</v>
      </c>
      <c r="H63" s="19" t="str">
        <f t="shared" si="3"/>
        <v>1258 h 25 min 40 s</v>
      </c>
      <c r="I63" s="20" t="str">
        <f t="shared" si="4"/>
        <v>507 h 07 min 39 s</v>
      </c>
      <c r="J63" s="14" t="str">
        <f t="shared" si="41"/>
        <v>314 d 14 h 28 min 26 s</v>
      </c>
      <c r="L63" s="21">
        <f t="shared" si="6"/>
        <v>4530340.154</v>
      </c>
      <c r="M63" s="21">
        <f t="shared" si="10"/>
        <v>27181705.92</v>
      </c>
      <c r="O63" s="23">
        <f t="shared" si="11"/>
        <v>165458109226</v>
      </c>
    </row>
    <row r="64" ht="15.75" customHeight="1">
      <c r="B64" s="13">
        <v>63.0</v>
      </c>
      <c r="C64" s="16">
        <f t="shared" si="7"/>
        <v>1019578.823</v>
      </c>
      <c r="D64" s="16">
        <f t="shared" si="8"/>
        <v>11600797422</v>
      </c>
      <c r="E64" s="16" t="str">
        <f t="shared" si="1"/>
        <v>3 h 09 min 38 s</v>
      </c>
      <c r="F64" s="19">
        <f t="shared" ref="F64:G64" si="72">F63*$A$8</f>
        <v>5542846659078</v>
      </c>
      <c r="G64" s="20">
        <f t="shared" si="72"/>
        <v>2233684474554</v>
      </c>
      <c r="H64" s="19" t="str">
        <f t="shared" si="3"/>
        <v>1510 h 06 min 48 s</v>
      </c>
      <c r="I64" s="20" t="str">
        <f t="shared" si="4"/>
        <v>608 h 33 min 11 s</v>
      </c>
      <c r="J64" s="14" t="str">
        <f t="shared" si="41"/>
        <v>377 d 12 h 35 min 14 s</v>
      </c>
      <c r="L64" s="21">
        <f t="shared" si="6"/>
        <v>5436408.185</v>
      </c>
      <c r="M64" s="21">
        <f t="shared" si="10"/>
        <v>32618114.11</v>
      </c>
      <c r="O64" s="23">
        <f t="shared" si="11"/>
        <v>248187163839</v>
      </c>
    </row>
    <row r="65" ht="15.75" customHeight="1">
      <c r="B65" s="13">
        <v>64.0</v>
      </c>
      <c r="C65" s="16">
        <f t="shared" si="7"/>
        <v>1274473.529</v>
      </c>
      <c r="D65" s="16">
        <f t="shared" si="8"/>
        <v>15081036649</v>
      </c>
      <c r="E65" s="16" t="str">
        <f t="shared" si="1"/>
        <v>3 h 17 min 13 s</v>
      </c>
      <c r="F65" s="19">
        <f t="shared" ref="F65:G65" si="73">F64*$A$8</f>
        <v>8314269988616</v>
      </c>
      <c r="G65" s="20">
        <f t="shared" si="73"/>
        <v>3350526711831</v>
      </c>
      <c r="H65" s="19" t="str">
        <f t="shared" si="3"/>
        <v>1812 h 08 min 10 s</v>
      </c>
      <c r="I65" s="20" t="str">
        <f t="shared" si="4"/>
        <v>730 h 15 min 50 s</v>
      </c>
      <c r="J65" s="14" t="str">
        <f t="shared" si="41"/>
        <v>453 d 0 h 43 min 24 s</v>
      </c>
      <c r="L65" s="21">
        <f t="shared" si="6"/>
        <v>6523689.822</v>
      </c>
      <c r="M65" s="21">
        <f t="shared" si="10"/>
        <v>39141803.93</v>
      </c>
      <c r="O65" s="23">
        <f t="shared" si="11"/>
        <v>372280745759</v>
      </c>
    </row>
    <row r="66" ht="15.75" customHeight="1">
      <c r="B66" s="13">
        <v>65.0</v>
      </c>
      <c r="C66" s="16">
        <f t="shared" si="7"/>
        <v>1593091.911</v>
      </c>
      <c r="D66" s="16">
        <f t="shared" si="8"/>
        <v>19605347643</v>
      </c>
      <c r="E66" s="16" t="str">
        <f t="shared" si="1"/>
        <v>3 h 25 min 06 s</v>
      </c>
      <c r="F66" s="19">
        <f t="shared" ref="F66:G66" si="74">F65*$A$8</f>
        <v>12471404982925</v>
      </c>
      <c r="G66" s="20">
        <f t="shared" si="74"/>
        <v>5025790067746</v>
      </c>
      <c r="H66" s="19" t="str">
        <f t="shared" si="3"/>
        <v>2174 h 33 min 48 s</v>
      </c>
      <c r="I66" s="20" t="str">
        <f t="shared" si="4"/>
        <v>876 h 19 min 00 s</v>
      </c>
      <c r="J66" s="14" t="str">
        <f t="shared" si="41"/>
        <v>543 d 15 h 17 min 12 s</v>
      </c>
      <c r="L66" s="21">
        <f t="shared" si="6"/>
        <v>7828427.786</v>
      </c>
      <c r="M66" s="21">
        <f t="shared" si="10"/>
        <v>46970231.72</v>
      </c>
      <c r="O66" s="23">
        <f t="shared" si="11"/>
        <v>558421118638</v>
      </c>
    </row>
    <row r="67" ht="15.75" customHeight="1">
      <c r="B67" s="13">
        <v>66.0</v>
      </c>
      <c r="C67" s="16">
        <f t="shared" si="7"/>
        <v>1991364.889</v>
      </c>
      <c r="D67" s="16">
        <f t="shared" si="8"/>
        <v>25486951936</v>
      </c>
      <c r="E67" s="16" t="str">
        <f t="shared" si="1"/>
        <v>3 h 33 min 19 s</v>
      </c>
      <c r="F67" s="19">
        <f t="shared" ref="F67:G67" si="75">F66*$A$8</f>
        <v>18707107474387</v>
      </c>
      <c r="G67" s="20">
        <f t="shared" si="75"/>
        <v>7538685101619</v>
      </c>
      <c r="H67" s="19" t="str">
        <f t="shared" si="3"/>
        <v>2609 h 28 min 33 s</v>
      </c>
      <c r="I67" s="20" t="str">
        <f t="shared" si="4"/>
        <v>1051 h 34 min 47 s</v>
      </c>
      <c r="J67" s="14" t="str">
        <f t="shared" si="41"/>
        <v>652 d 8 h 45 min 45 s</v>
      </c>
      <c r="L67" s="21">
        <f t="shared" si="6"/>
        <v>9394113.343</v>
      </c>
      <c r="M67" s="21">
        <f t="shared" si="10"/>
        <v>56364345.06</v>
      </c>
      <c r="O67" s="23">
        <f t="shared" si="11"/>
        <v>837631677958</v>
      </c>
    </row>
    <row r="68" ht="15.75" customHeight="1">
      <c r="B68" s="13">
        <v>67.0</v>
      </c>
      <c r="C68" s="16">
        <f t="shared" si="7"/>
        <v>2489206.111</v>
      </c>
      <c r="D68" s="16">
        <f t="shared" si="8"/>
        <v>33133037517</v>
      </c>
      <c r="E68" s="16" t="str">
        <f t="shared" si="1"/>
        <v>3 h 41 min 51 s</v>
      </c>
      <c r="F68" s="19">
        <f t="shared" ref="F68:G68" si="76">F67*$A$8</f>
        <v>28060661211581</v>
      </c>
      <c r="G68" s="20">
        <f t="shared" si="76"/>
        <v>11308027652428</v>
      </c>
      <c r="H68" s="19" t="str">
        <f t="shared" si="3"/>
        <v>3131 h 22 min 16 s</v>
      </c>
      <c r="I68" s="20" t="str">
        <f t="shared" si="4"/>
        <v>1261 h 53 min 45 s</v>
      </c>
      <c r="J68" s="14" t="str">
        <f t="shared" si="41"/>
        <v>782 d 20 h 08 min 01 s</v>
      </c>
      <c r="L68" s="21">
        <f t="shared" si="6"/>
        <v>11272936.01</v>
      </c>
      <c r="M68" s="21">
        <f t="shared" si="10"/>
        <v>67637281.07</v>
      </c>
      <c r="O68" s="23">
        <f t="shared" si="11"/>
        <v>1256447516936</v>
      </c>
    </row>
    <row r="69" ht="15.75" customHeight="1">
      <c r="B69" s="13">
        <v>68.0</v>
      </c>
      <c r="C69" s="16">
        <f t="shared" si="7"/>
        <v>3111507.639</v>
      </c>
      <c r="D69" s="16">
        <f t="shared" si="8"/>
        <v>43072948772</v>
      </c>
      <c r="E69" s="16" t="str">
        <f t="shared" si="1"/>
        <v>3 h 50 min 43 s</v>
      </c>
      <c r="F69" s="19">
        <f t="shared" ref="F69:G69" si="77">F68*$A$8</f>
        <v>42090991817371</v>
      </c>
      <c r="G69" s="20">
        <f t="shared" si="77"/>
        <v>16962041478642</v>
      </c>
      <c r="H69" s="19" t="str">
        <f t="shared" si="3"/>
        <v>3757 h 38 min 43 s</v>
      </c>
      <c r="I69" s="20" t="str">
        <f t="shared" si="4"/>
        <v>1514 h 16 min 30 s</v>
      </c>
      <c r="J69" s="14" t="str">
        <f t="shared" si="41"/>
        <v>939 d 9 h 46 min 44 s</v>
      </c>
      <c r="L69" s="21">
        <f t="shared" si="6"/>
        <v>13527523.21</v>
      </c>
      <c r="M69" s="21">
        <f t="shared" si="10"/>
        <v>81164804.29</v>
      </c>
      <c r="O69" s="23">
        <f t="shared" si="11"/>
        <v>1884671275405</v>
      </c>
    </row>
    <row r="70" ht="15.75" customHeight="1">
      <c r="B70" s="13">
        <v>69.0</v>
      </c>
      <c r="C70" s="16">
        <f t="shared" si="7"/>
        <v>3889384.549</v>
      </c>
      <c r="D70" s="16">
        <f t="shared" si="8"/>
        <v>55994833403</v>
      </c>
      <c r="E70" s="16" t="str">
        <f t="shared" si="1"/>
        <v>3 h 59 min 57 s</v>
      </c>
      <c r="F70" s="19">
        <f t="shared" ref="F70:G70" si="78">F69*$A$8</f>
        <v>63136487726056</v>
      </c>
      <c r="G70" s="20">
        <f t="shared" si="78"/>
        <v>25443062217963</v>
      </c>
      <c r="H70" s="19" t="str">
        <f t="shared" si="3"/>
        <v>4509 h 10 min 28 s</v>
      </c>
      <c r="I70" s="20" t="str">
        <f t="shared" si="4"/>
        <v>1817 h 07 min 48 s</v>
      </c>
      <c r="J70" s="14" t="str">
        <f t="shared" si="41"/>
        <v>1127 d 6 h 57 min 12 s</v>
      </c>
      <c r="L70" s="21">
        <f t="shared" si="6"/>
        <v>16233027.86</v>
      </c>
      <c r="M70" s="21">
        <f t="shared" si="10"/>
        <v>97397832.14</v>
      </c>
      <c r="O70" s="23">
        <f t="shared" si="11"/>
        <v>2827006913107</v>
      </c>
    </row>
    <row r="71" ht="15.75" customHeight="1">
      <c r="B71" s="13">
        <v>70.0</v>
      </c>
      <c r="C71" s="16">
        <f t="shared" si="7"/>
        <v>4861730.686</v>
      </c>
      <c r="D71" s="16">
        <f t="shared" si="8"/>
        <v>72793283424</v>
      </c>
      <c r="E71" s="16" t="str">
        <f t="shared" si="1"/>
        <v>4 h 09 min 33 s</v>
      </c>
      <c r="F71" s="19">
        <f t="shared" ref="F71:G71" si="79">F70*$A$8</f>
        <v>94704731589085</v>
      </c>
      <c r="G71" s="20">
        <f t="shared" si="79"/>
        <v>38164593326945</v>
      </c>
      <c r="H71" s="19" t="str">
        <f t="shared" si="3"/>
        <v>5411 h 00 min 33 s</v>
      </c>
      <c r="I71" s="20" t="str">
        <f t="shared" si="4"/>
        <v>2180 h 33 min 22 s</v>
      </c>
      <c r="J71" s="14" t="str">
        <f t="shared" si="41"/>
        <v>1352 d 17 h 57 min 46 s</v>
      </c>
      <c r="L71" s="21">
        <f t="shared" si="6"/>
        <v>19479633.43</v>
      </c>
      <c r="M71" s="21">
        <f t="shared" si="10"/>
        <v>116877465.6</v>
      </c>
      <c r="O71" s="23">
        <f t="shared" si="11"/>
        <v>4240510369661</v>
      </c>
    </row>
    <row r="72" ht="15.75" customHeight="1">
      <c r="B72" s="13">
        <v>71.0</v>
      </c>
      <c r="C72" s="16">
        <f t="shared" si="7"/>
        <v>6077163.357</v>
      </c>
      <c r="D72" s="16">
        <f t="shared" si="8"/>
        <v>94631268452</v>
      </c>
      <c r="E72" s="16" t="str">
        <f t="shared" si="1"/>
        <v>4 h 19 min 32 s</v>
      </c>
      <c r="F72" s="19">
        <f t="shared" ref="F72:G72" si="80">F71*$A$8</f>
        <v>142057097383627</v>
      </c>
      <c r="G72" s="20">
        <f t="shared" si="80"/>
        <v>57246889990417</v>
      </c>
      <c r="H72" s="19" t="str">
        <f t="shared" si="3"/>
        <v>6493 h 12 min 40 s</v>
      </c>
      <c r="I72" s="20" t="str">
        <f t="shared" si="4"/>
        <v>2616 h 40 min 02 s</v>
      </c>
      <c r="J72" s="14" t="str">
        <f t="shared" si="41"/>
        <v>1623 d 7 h 10 min 26 s</v>
      </c>
      <c r="L72" s="21">
        <f t="shared" si="6"/>
        <v>23375560.11</v>
      </c>
      <c r="M72" s="21">
        <f t="shared" si="10"/>
        <v>140253025.7</v>
      </c>
      <c r="O72" s="23">
        <f t="shared" si="11"/>
        <v>6360765554491</v>
      </c>
    </row>
    <row r="73" ht="15.75" customHeight="1">
      <c r="B73" s="13">
        <v>72.0</v>
      </c>
      <c r="C73" s="16">
        <f t="shared" si="7"/>
        <v>7596454.197</v>
      </c>
      <c r="D73" s="16">
        <f t="shared" si="8"/>
        <v>123020648987</v>
      </c>
      <c r="E73" s="16" t="str">
        <f t="shared" si="1"/>
        <v>4 h 29 min 54 s</v>
      </c>
      <c r="F73" s="19">
        <f t="shared" ref="F73:G73" si="81">F72*$A$8</f>
        <v>213085646075440</v>
      </c>
      <c r="G73" s="20">
        <f t="shared" si="81"/>
        <v>85870334985625</v>
      </c>
      <c r="H73" s="19" t="str">
        <f t="shared" si="3"/>
        <v>7791 h 51 min 12 s</v>
      </c>
      <c r="I73" s="20" t="str">
        <f t="shared" si="4"/>
        <v>3140 h 00 min 02 s</v>
      </c>
      <c r="J73" s="14" t="str">
        <f t="shared" si="41"/>
        <v>1947 d 23 h 01 min 38 s</v>
      </c>
      <c r="L73" s="21">
        <f t="shared" si="6"/>
        <v>28050672.14</v>
      </c>
      <c r="M73" s="21">
        <f t="shared" si="10"/>
        <v>168303697.8</v>
      </c>
      <c r="O73" s="23">
        <f t="shared" si="11"/>
        <v>9541148331736</v>
      </c>
    </row>
    <row r="74" ht="15.75" customHeight="1">
      <c r="B74" s="13">
        <v>73.0</v>
      </c>
      <c r="C74" s="16">
        <f t="shared" si="7"/>
        <v>9495567.746</v>
      </c>
      <c r="D74" s="16">
        <f t="shared" si="8"/>
        <v>159926843683</v>
      </c>
      <c r="E74" s="16" t="str">
        <f t="shared" si="1"/>
        <v>4 h 40 min 42 s</v>
      </c>
      <c r="F74" s="19">
        <f t="shared" ref="F74:G74" si="82">F73*$A$8</f>
        <v>319628469113161</v>
      </c>
      <c r="G74" s="20">
        <f t="shared" si="82"/>
        <v>128805502478438</v>
      </c>
      <c r="H74" s="19" t="str">
        <f t="shared" si="3"/>
        <v>9350 h 13 min 27 s</v>
      </c>
      <c r="I74" s="20" t="str">
        <f t="shared" si="4"/>
        <v>3768 h 00 min 03 s</v>
      </c>
      <c r="J74" s="14" t="str">
        <f t="shared" si="41"/>
        <v>2337 d 13 h 15 min 04 s</v>
      </c>
      <c r="L74" s="21">
        <f t="shared" si="6"/>
        <v>33660806.56</v>
      </c>
      <c r="M74" s="21">
        <f t="shared" si="10"/>
        <v>201964504.4</v>
      </c>
      <c r="O74" s="23">
        <f t="shared" si="11"/>
        <v>14311722497604</v>
      </c>
    </row>
    <row r="75" ht="15.75" customHeight="1">
      <c r="B75" s="13">
        <v>74.0</v>
      </c>
      <c r="C75" s="16">
        <f t="shared" si="7"/>
        <v>11869459.68</v>
      </c>
      <c r="D75" s="16">
        <f t="shared" si="8"/>
        <v>207904896788</v>
      </c>
      <c r="E75" s="16" t="str">
        <f t="shared" si="1"/>
        <v>4 h 51 min 56 s</v>
      </c>
      <c r="F75" s="19">
        <f t="shared" ref="F75:G75" si="83">F74*$A$8</f>
        <v>479442703669741</v>
      </c>
      <c r="G75" s="20">
        <f t="shared" si="83"/>
        <v>193208253717657</v>
      </c>
      <c r="H75" s="19" t="str">
        <f t="shared" si="3"/>
        <v>11220 h 16 min 08 s</v>
      </c>
      <c r="I75" s="20" t="str">
        <f t="shared" si="4"/>
        <v>4521 h 36 min 03 s</v>
      </c>
      <c r="J75" s="14" t="str">
        <f t="shared" si="41"/>
        <v>2805 d 1 h 31 min 12 s</v>
      </c>
      <c r="L75" s="21">
        <f t="shared" si="6"/>
        <v>40392967.88</v>
      </c>
      <c r="M75" s="21">
        <f t="shared" si="10"/>
        <v>242357472.3</v>
      </c>
      <c r="O75" s="23">
        <f t="shared" si="11"/>
        <v>21467583746406</v>
      </c>
    </row>
    <row r="76" ht="15.75" customHeight="1">
      <c r="B76" s="13">
        <v>75.0</v>
      </c>
      <c r="C76" s="16">
        <f t="shared" si="7"/>
        <v>14836824.6</v>
      </c>
      <c r="D76" s="16">
        <f t="shared" si="8"/>
        <v>270276365825</v>
      </c>
      <c r="E76" s="16" t="str">
        <f t="shared" si="1"/>
        <v>5 h 03 min 37 s</v>
      </c>
      <c r="F76" s="19">
        <f t="shared" ref="F76:G76" si="84">F75*$A$8</f>
        <v>719164055504611</v>
      </c>
      <c r="G76" s="20">
        <f t="shared" si="84"/>
        <v>289812380576485</v>
      </c>
      <c r="H76" s="19" t="str">
        <f t="shared" si="3"/>
        <v>13464 h 19 min 21 s</v>
      </c>
      <c r="I76" s="20" t="str">
        <f t="shared" si="4"/>
        <v>5425 h 55 min 16 s</v>
      </c>
      <c r="J76" s="14" t="str">
        <f t="shared" si="41"/>
        <v>3366 d 1 h 50 min 34 s</v>
      </c>
      <c r="L76" s="21">
        <f t="shared" si="6"/>
        <v>48471561.45</v>
      </c>
      <c r="M76" s="21">
        <f t="shared" si="10"/>
        <v>290829033.7</v>
      </c>
      <c r="O76" s="23">
        <f t="shared" si="11"/>
        <v>32201375619610</v>
      </c>
    </row>
    <row r="77" ht="15.75" customHeight="1">
      <c r="B77" s="13">
        <v>76.0</v>
      </c>
      <c r="C77" s="16">
        <f t="shared" si="7"/>
        <v>18546030.75</v>
      </c>
      <c r="D77" s="16">
        <f t="shared" si="8"/>
        <v>351359275572</v>
      </c>
      <c r="E77" s="16" t="str">
        <f t="shared" si="1"/>
        <v>5 h 15 min 45 s</v>
      </c>
      <c r="F77" s="19">
        <f t="shared" ref="F77:G77" si="85">F76*$A$8</f>
        <v>1.07875E+15</v>
      </c>
      <c r="G77" s="20">
        <f t="shared" si="85"/>
        <v>434718570864728</v>
      </c>
      <c r="H77" s="19" t="str">
        <f t="shared" si="3"/>
        <v>16157 h 11 min 14 s</v>
      </c>
      <c r="I77" s="20" t="str">
        <f t="shared" si="4"/>
        <v>6511 h 06 min 19 s</v>
      </c>
      <c r="J77" s="14" t="str">
        <f t="shared" si="41"/>
        <v>4039 d 7 h 01 min 47 s</v>
      </c>
      <c r="L77" s="21">
        <f t="shared" si="6"/>
        <v>58165873.74</v>
      </c>
      <c r="M77" s="21">
        <f t="shared" si="10"/>
        <v>348994907.5</v>
      </c>
      <c r="O77" s="23">
        <f t="shared" si="11"/>
        <v>48302063429414</v>
      </c>
    </row>
    <row r="78" ht="15.75" customHeight="1">
      <c r="B78" s="13">
        <v>77.0</v>
      </c>
      <c r="C78" s="16">
        <f t="shared" si="7"/>
        <v>23182538.44</v>
      </c>
      <c r="D78" s="16">
        <f t="shared" si="8"/>
        <v>456767058244</v>
      </c>
      <c r="E78" s="16" t="str">
        <f t="shared" si="1"/>
        <v>5 h 28 min 23 s</v>
      </c>
      <c r="F78" s="19">
        <f t="shared" ref="F78:G78" si="86">F77*$A$8</f>
        <v>1.61812E+15</v>
      </c>
      <c r="G78" s="20">
        <f t="shared" si="86"/>
        <v>652077856297092</v>
      </c>
      <c r="H78" s="19" t="str">
        <f t="shared" si="3"/>
        <v>19388 h 37 min 28 s</v>
      </c>
      <c r="I78" s="20" t="str">
        <f t="shared" si="4"/>
        <v>7813 h 19 min 35 s</v>
      </c>
      <c r="J78" s="14" t="str">
        <f t="shared" si="41"/>
        <v>4847 d 3 h 39 min 16 s</v>
      </c>
      <c r="L78" s="21">
        <f t="shared" si="6"/>
        <v>69799048.49</v>
      </c>
      <c r="M78" s="21">
        <f t="shared" si="10"/>
        <v>418793956</v>
      </c>
      <c r="O78" s="23">
        <f t="shared" si="11"/>
        <v>72453095144121</v>
      </c>
    </row>
    <row r="79" ht="15.75" customHeight="1">
      <c r="B79" s="13">
        <v>78.0</v>
      </c>
      <c r="C79" s="16">
        <f t="shared" si="7"/>
        <v>28978173.05</v>
      </c>
      <c r="D79" s="16">
        <f t="shared" si="8"/>
        <v>593797175717</v>
      </c>
      <c r="E79" s="16" t="str">
        <f t="shared" si="1"/>
        <v>5 h 41 min 31 s</v>
      </c>
      <c r="F79" s="19">
        <f t="shared" ref="F79:G79" si="87">F78*$A$8</f>
        <v>2.42718E+15</v>
      </c>
      <c r="G79" s="20">
        <f t="shared" si="87"/>
        <v>978116784445637</v>
      </c>
      <c r="H79" s="19" t="str">
        <f t="shared" si="3"/>
        <v>23266 h 20 min 58 s</v>
      </c>
      <c r="I79" s="20" t="str">
        <f t="shared" si="4"/>
        <v>9375 h 59 min 30 s</v>
      </c>
      <c r="J79" s="14" t="str">
        <f t="shared" si="41"/>
        <v>5816 d 14 h 00 min 14 s</v>
      </c>
      <c r="L79" s="21">
        <f t="shared" si="6"/>
        <v>83758858.19</v>
      </c>
      <c r="M79" s="21">
        <f t="shared" si="10"/>
        <v>502552814.1</v>
      </c>
      <c r="O79" s="23">
        <f t="shared" si="11"/>
        <v>108679642716182</v>
      </c>
    </row>
    <row r="80" ht="15.75" customHeight="1">
      <c r="B80" s="13">
        <v>79.0</v>
      </c>
      <c r="C80" s="16">
        <f t="shared" si="7"/>
        <v>36222716.32</v>
      </c>
      <c r="D80" s="16">
        <f t="shared" si="8"/>
        <v>771936328433</v>
      </c>
      <c r="E80" s="16" t="str">
        <f t="shared" si="1"/>
        <v>5 h 55 min 11 s</v>
      </c>
      <c r="F80" s="19">
        <f t="shared" ref="F80:G80" si="88">F79*$A$8</f>
        <v>3.64077E+15</v>
      </c>
      <c r="G80" s="20">
        <f t="shared" si="88"/>
        <v>1.46718E+15</v>
      </c>
      <c r="H80" s="19" t="str">
        <f t="shared" si="3"/>
        <v>27919 h 37 min 10 s</v>
      </c>
      <c r="I80" s="20" t="str">
        <f t="shared" si="4"/>
        <v>11251 h 11 min 24 s</v>
      </c>
      <c r="J80" s="14" t="str">
        <f t="shared" si="41"/>
        <v>6979 d 21 h 37 min 24 s</v>
      </c>
      <c r="L80" s="21">
        <f t="shared" si="6"/>
        <v>100510629.8</v>
      </c>
      <c r="M80" s="21">
        <f t="shared" si="10"/>
        <v>603063444</v>
      </c>
      <c r="O80" s="23">
        <f t="shared" si="11"/>
        <v>163019464074273</v>
      </c>
    </row>
    <row r="81" ht="15.75" customHeight="1">
      <c r="B81" s="13">
        <v>80.0</v>
      </c>
      <c r="C81" s="16">
        <f t="shared" si="7"/>
        <v>45278395.39</v>
      </c>
      <c r="D81" s="16">
        <f t="shared" si="8"/>
        <v>1003517226963</v>
      </c>
      <c r="E81" s="16" t="str">
        <f t="shared" si="1"/>
        <v>6 h 09 min 23 s</v>
      </c>
      <c r="F81" s="19">
        <f t="shared" ref="F81:G81" si="89">F80*$A$8</f>
        <v>5.46115E+15</v>
      </c>
      <c r="G81" s="20">
        <f t="shared" si="89"/>
        <v>2.20076E+15</v>
      </c>
      <c r="H81" s="19" t="str">
        <f t="shared" si="3"/>
        <v>33503 h 32 min 36 s</v>
      </c>
      <c r="I81" s="20" t="str">
        <f t="shared" si="4"/>
        <v>13501 h 25 min 40 s</v>
      </c>
      <c r="J81" s="14" t="str">
        <f t="shared" si="41"/>
        <v>8375 d 21 h 10 min 00 s</v>
      </c>
      <c r="L81" s="21">
        <f t="shared" si="6"/>
        <v>120612755.8</v>
      </c>
      <c r="M81" s="21">
        <f t="shared" si="10"/>
        <v>723676199.8</v>
      </c>
      <c r="O81" s="23">
        <f t="shared" si="11"/>
        <v>244529196111409</v>
      </c>
    </row>
    <row r="82" ht="15.75" customHeight="1">
      <c r="B82" s="13">
        <v>81.0</v>
      </c>
      <c r="C82" s="16">
        <f t="shared" si="7"/>
        <v>56597994.24</v>
      </c>
      <c r="D82" s="16">
        <f t="shared" si="8"/>
        <v>1304572395051</v>
      </c>
      <c r="E82" s="16" t="str">
        <f t="shared" si="1"/>
        <v>6 h 24 min 10 s</v>
      </c>
      <c r="F82" s="19">
        <f t="shared" ref="F82:G82" si="90">F81*$A$8</f>
        <v>8.19173E+15</v>
      </c>
      <c r="G82" s="20">
        <f t="shared" si="90"/>
        <v>3.30114E+15</v>
      </c>
      <c r="H82" s="19" t="str">
        <f t="shared" si="3"/>
        <v>40204 h 15 min 07 s</v>
      </c>
      <c r="I82" s="20" t="str">
        <f t="shared" si="4"/>
        <v>16201 h 42 min 48 s</v>
      </c>
      <c r="J82" s="14" t="str">
        <f t="shared" si="41"/>
        <v>10051 d 1 h 25 min 07 s</v>
      </c>
      <c r="L82" s="21">
        <f t="shared" si="6"/>
        <v>144735307</v>
      </c>
      <c r="M82" s="21">
        <f t="shared" si="10"/>
        <v>868411506.7</v>
      </c>
      <c r="O82" s="23">
        <f t="shared" si="11"/>
        <v>366793794167114</v>
      </c>
    </row>
    <row r="83" ht="15.75" customHeight="1">
      <c r="B83" s="13">
        <v>82.0</v>
      </c>
      <c r="C83" s="16">
        <f t="shared" si="7"/>
        <v>70747492.8</v>
      </c>
      <c r="D83" s="16">
        <f t="shared" si="8"/>
        <v>1695944113567</v>
      </c>
      <c r="E83" s="16" t="str">
        <f t="shared" si="1"/>
        <v>6 h 39 min 32 s</v>
      </c>
      <c r="F83" s="19">
        <f t="shared" ref="F83:G83" si="91">F82*$A$8</f>
        <v>1.22876E+16</v>
      </c>
      <c r="G83" s="20">
        <f t="shared" si="91"/>
        <v>4.95172E+15</v>
      </c>
      <c r="H83" s="19" t="str">
        <f t="shared" si="3"/>
        <v>48245 h 06 min 08 s</v>
      </c>
      <c r="I83" s="20" t="str">
        <f t="shared" si="4"/>
        <v>19442 h 03 min 22 s</v>
      </c>
      <c r="J83" s="14" t="str">
        <f t="shared" si="41"/>
        <v>12061 d 6 h 31 min 15 s</v>
      </c>
      <c r="L83" s="21">
        <f t="shared" si="6"/>
        <v>173682368.3</v>
      </c>
      <c r="M83" s="21">
        <f t="shared" si="10"/>
        <v>1042093875</v>
      </c>
      <c r="O83" s="23">
        <f t="shared" si="11"/>
        <v>550190691250671</v>
      </c>
    </row>
    <row r="84" ht="15.75" customHeight="1">
      <c r="B84" s="13">
        <v>83.0</v>
      </c>
      <c r="C84" s="16">
        <f t="shared" si="7"/>
        <v>88434366</v>
      </c>
      <c r="D84" s="16">
        <f t="shared" si="8"/>
        <v>2204727347637</v>
      </c>
      <c r="E84" s="16" t="str">
        <f t="shared" si="1"/>
        <v>6 h 55 min 31 s</v>
      </c>
      <c r="F84" s="19">
        <f t="shared" ref="F84:G84" si="92">F83*$A$8</f>
        <v>1.84314E+16</v>
      </c>
      <c r="G84" s="20">
        <f t="shared" si="92"/>
        <v>7.42757E+15</v>
      </c>
      <c r="H84" s="19" t="str">
        <f t="shared" si="3"/>
        <v>57894 h 07 min 22 s</v>
      </c>
      <c r="I84" s="20" t="str">
        <f t="shared" si="4"/>
        <v>23330 h 28 min 03 s</v>
      </c>
      <c r="J84" s="14" t="str">
        <f t="shared" si="41"/>
        <v>14473 d 12 h 38 min 37 s</v>
      </c>
      <c r="L84" s="21">
        <f t="shared" si="6"/>
        <v>208418842</v>
      </c>
      <c r="M84" s="21">
        <f t="shared" si="10"/>
        <v>1250512717</v>
      </c>
      <c r="O84" s="23">
        <f t="shared" si="11"/>
        <v>825286036876007</v>
      </c>
    </row>
    <row r="85" ht="15.75" customHeight="1">
      <c r="B85" s="13">
        <v>84.0</v>
      </c>
      <c r="C85" s="16">
        <f t="shared" si="7"/>
        <v>110542957.5</v>
      </c>
      <c r="D85" s="16">
        <f t="shared" si="8"/>
        <v>2866145551928</v>
      </c>
      <c r="E85" s="16" t="str">
        <f t="shared" si="1"/>
        <v>7 h 12 min 08 s</v>
      </c>
      <c r="F85" s="19">
        <f t="shared" ref="F85:G85" si="93">F84*$A$8</f>
        <v>2.76471E+16</v>
      </c>
      <c r="G85" s="20">
        <f t="shared" si="93"/>
        <v>1.11414E+16</v>
      </c>
      <c r="H85" s="19" t="str">
        <f t="shared" si="3"/>
        <v>69472 h 56 min 50 s</v>
      </c>
      <c r="I85" s="20" t="str">
        <f t="shared" si="4"/>
        <v>27996 h 33 min 39 s</v>
      </c>
      <c r="J85" s="14" t="str">
        <f t="shared" si="41"/>
        <v>17368 d 5 h 35 min 28 s</v>
      </c>
      <c r="L85" s="21">
        <f t="shared" si="6"/>
        <v>250102610.4</v>
      </c>
      <c r="M85" s="21">
        <f t="shared" si="10"/>
        <v>1500615328</v>
      </c>
      <c r="O85" s="23">
        <f t="shared" si="11"/>
        <v>1.23793E+15</v>
      </c>
    </row>
    <row r="86" ht="15.75" customHeight="1">
      <c r="B86" s="13">
        <v>85.0</v>
      </c>
      <c r="C86" s="16">
        <f t="shared" si="7"/>
        <v>138178696.9</v>
      </c>
      <c r="D86" s="16">
        <f t="shared" si="8"/>
        <v>3725989217506</v>
      </c>
      <c r="E86" s="16" t="str">
        <f t="shared" si="1"/>
        <v>7 h 29 min 25 s</v>
      </c>
      <c r="F86" s="19">
        <f t="shared" ref="F86:G86" si="94">F85*$A$8</f>
        <v>4.14706E+16</v>
      </c>
      <c r="G86" s="20">
        <f t="shared" si="94"/>
        <v>1.6712E+16</v>
      </c>
      <c r="H86" s="19" t="str">
        <f t="shared" si="3"/>
        <v>83367 h 32 min 13 s</v>
      </c>
      <c r="I86" s="20" t="str">
        <f t="shared" si="4"/>
        <v>33595 h 52 min 23 s</v>
      </c>
      <c r="J86" s="14" t="str">
        <f t="shared" si="41"/>
        <v>20841 d 21 h 07 min 40 s</v>
      </c>
      <c r="L86" s="21">
        <f t="shared" si="6"/>
        <v>300123132.5</v>
      </c>
      <c r="M86" s="21">
        <f t="shared" si="10"/>
        <v>1800738460</v>
      </c>
      <c r="O86" s="23">
        <f t="shared" si="11"/>
        <v>1.85689E+15</v>
      </c>
    </row>
    <row r="87" ht="15.75" customHeight="1">
      <c r="B87" s="13">
        <v>86.0</v>
      </c>
      <c r="C87" s="16">
        <f t="shared" si="7"/>
        <v>172723371.1</v>
      </c>
      <c r="D87" s="16">
        <f t="shared" si="8"/>
        <v>4843785982758</v>
      </c>
      <c r="E87" s="16" t="str">
        <f t="shared" si="1"/>
        <v>7 h 47 min 24 s</v>
      </c>
      <c r="F87" s="19">
        <f t="shared" ref="F87:G87" si="95">F86*$A$8</f>
        <v>6.22059E+16</v>
      </c>
      <c r="G87" s="20">
        <f t="shared" si="95"/>
        <v>2.50681E+16</v>
      </c>
      <c r="H87" s="19" t="str">
        <f t="shared" si="3"/>
        <v>100041 h 02 min 39 s</v>
      </c>
      <c r="I87" s="20" t="str">
        <f t="shared" si="4"/>
        <v>40315 h 02 min 52 s</v>
      </c>
      <c r="J87" s="14" t="str">
        <f t="shared" si="41"/>
        <v>25010 d 6 h 10 min 19 s</v>
      </c>
      <c r="L87" s="21">
        <f t="shared" si="6"/>
        <v>360147759</v>
      </c>
      <c r="M87" s="21">
        <f t="shared" si="10"/>
        <v>2160886219</v>
      </c>
      <c r="O87" s="23">
        <f t="shared" si="11"/>
        <v>2.78534E+15</v>
      </c>
    </row>
    <row r="88" ht="15.75" customHeight="1">
      <c r="B88" s="13">
        <v>87.0</v>
      </c>
      <c r="C88" s="16">
        <f t="shared" si="7"/>
        <v>215904213.9</v>
      </c>
      <c r="D88" s="16">
        <f t="shared" si="8"/>
        <v>6296921777585</v>
      </c>
      <c r="E88" s="16" t="str">
        <f t="shared" si="1"/>
        <v>8 h 06 min 05 s</v>
      </c>
      <c r="F88" s="19">
        <f t="shared" ref="F88:G88" si="96">F87*$A$8</f>
        <v>9.33089E+16</v>
      </c>
      <c r="G88" s="20">
        <f t="shared" si="96"/>
        <v>3.76021E+16</v>
      </c>
      <c r="H88" s="19" t="str">
        <f t="shared" si="3"/>
        <v>120049 h 15 min 11 s</v>
      </c>
      <c r="I88" s="20" t="str">
        <f t="shared" si="4"/>
        <v>48378 h 03 min 26 s</v>
      </c>
      <c r="J88" s="14" t="str">
        <f t="shared" si="41"/>
        <v>30012 d 7 h 25 min 30 s</v>
      </c>
      <c r="L88" s="21">
        <f t="shared" si="6"/>
        <v>432177310.8</v>
      </c>
      <c r="M88" s="21">
        <f t="shared" si="10"/>
        <v>2593063530</v>
      </c>
      <c r="O88" s="23">
        <f t="shared" si="11"/>
        <v>4.17801E+15</v>
      </c>
    </row>
    <row r="89" ht="15.75" customHeight="1">
      <c r="B89" s="13">
        <v>88.0</v>
      </c>
      <c r="C89" s="16">
        <f t="shared" si="7"/>
        <v>269880267.3</v>
      </c>
      <c r="D89" s="16">
        <f t="shared" si="8"/>
        <v>8185998310861</v>
      </c>
      <c r="E89" s="16" t="str">
        <f t="shared" si="1"/>
        <v>8 h 25 min 32 s</v>
      </c>
      <c r="F89" s="19">
        <f t="shared" ref="F89:G89" si="97">F88*$A$8</f>
        <v>1.39963E+17</v>
      </c>
      <c r="G89" s="20">
        <f t="shared" si="97"/>
        <v>5.64031E+16</v>
      </c>
      <c r="H89" s="19" t="str">
        <f t="shared" si="3"/>
        <v>144059 h 06 min 13 s</v>
      </c>
      <c r="I89" s="20" t="str">
        <f t="shared" si="4"/>
        <v>58053 h 40 min 07 s</v>
      </c>
      <c r="J89" s="14" t="str">
        <f t="shared" si="41"/>
        <v>36014 d 18 h 31 min 43 s</v>
      </c>
      <c r="L89" s="21">
        <f t="shared" si="6"/>
        <v>518612773</v>
      </c>
      <c r="M89" s="21">
        <f t="shared" si="10"/>
        <v>3111676303</v>
      </c>
      <c r="O89" s="23">
        <f t="shared" si="11"/>
        <v>6.26702E+15</v>
      </c>
    </row>
    <row r="90" ht="15.75" customHeight="1">
      <c r="B90" s="13">
        <v>89.0</v>
      </c>
      <c r="C90" s="16">
        <f t="shared" si="7"/>
        <v>337350334.2</v>
      </c>
      <c r="D90" s="16">
        <f t="shared" si="8"/>
        <v>10641797804119</v>
      </c>
      <c r="E90" s="16" t="str">
        <f t="shared" si="1"/>
        <v>8 h 45 min 45 s</v>
      </c>
      <c r="F90" s="19">
        <f t="shared" ref="F90:G90" si="98">F89*$A$8</f>
        <v>2.09945E+17</v>
      </c>
      <c r="G90" s="20">
        <f t="shared" si="98"/>
        <v>8.46047E+16</v>
      </c>
      <c r="H90" s="19" t="str">
        <f t="shared" si="3"/>
        <v>172870 h 55 min 28 s</v>
      </c>
      <c r="I90" s="20" t="str">
        <f t="shared" si="4"/>
        <v>69664 h 24 min 08 s</v>
      </c>
      <c r="J90" s="14" t="str">
        <f t="shared" si="41"/>
        <v>43217 d 17 h 27 min 10 s</v>
      </c>
      <c r="L90" s="21">
        <f t="shared" si="6"/>
        <v>622335327.6</v>
      </c>
      <c r="M90" s="21">
        <f t="shared" si="10"/>
        <v>3734011630</v>
      </c>
      <c r="O90" s="23">
        <f t="shared" si="11"/>
        <v>9.40052E+15</v>
      </c>
    </row>
    <row r="91" ht="15.75" customHeight="1">
      <c r="B91" s="13">
        <v>90.0</v>
      </c>
      <c r="C91" s="16">
        <f t="shared" si="7"/>
        <v>421687917.7</v>
      </c>
      <c r="D91" s="16">
        <f t="shared" si="8"/>
        <v>13834337145355</v>
      </c>
      <c r="E91" s="16" t="str">
        <f t="shared" si="1"/>
        <v>9 h 06 min 47 s</v>
      </c>
      <c r="F91" s="19">
        <f t="shared" ref="F91:G91" si="99">F90*$A$8</f>
        <v>3.14918E+17</v>
      </c>
      <c r="G91" s="20">
        <f t="shared" si="99"/>
        <v>1.26907E+17</v>
      </c>
      <c r="H91" s="19" t="str">
        <f t="shared" si="3"/>
        <v>207445 h 06 min 33 s</v>
      </c>
      <c r="I91" s="20" t="str">
        <f t="shared" si="4"/>
        <v>83597 h 16 min 58 s</v>
      </c>
      <c r="J91" s="14" t="str">
        <f t="shared" si="41"/>
        <v>51861 d 6 h 33 min 43 s</v>
      </c>
      <c r="L91" s="21">
        <f t="shared" si="6"/>
        <v>746802393.1</v>
      </c>
      <c r="M91" s="21">
        <f t="shared" si="10"/>
        <v>4480814023</v>
      </c>
      <c r="O91" s="23">
        <f t="shared" si="11"/>
        <v>1.41008E+16</v>
      </c>
    </row>
    <row r="92" ht="15.75" customHeight="1">
      <c r="B92" s="13">
        <v>91.0</v>
      </c>
      <c r="C92" s="16">
        <f t="shared" si="7"/>
        <v>527109897.2</v>
      </c>
      <c r="D92" s="16">
        <f t="shared" si="8"/>
        <v>17984638288961</v>
      </c>
      <c r="E92" s="16" t="str">
        <f t="shared" si="1"/>
        <v>9 h 28 min 39 s</v>
      </c>
      <c r="F92" s="19">
        <f t="shared" ref="F92:G92" si="100">F91*$A$8</f>
        <v>4.72376E+17</v>
      </c>
      <c r="G92" s="20">
        <f t="shared" si="100"/>
        <v>1.90361E+17</v>
      </c>
      <c r="H92" s="19" t="str">
        <f t="shared" si="3"/>
        <v>248934 h 07 min 52 s</v>
      </c>
      <c r="I92" s="20" t="str">
        <f t="shared" si="4"/>
        <v>100316 h 44 min 22 s</v>
      </c>
      <c r="J92" s="14" t="str">
        <f t="shared" si="41"/>
        <v>62233 d 12 h 41 min 35 s</v>
      </c>
      <c r="L92" s="21">
        <f t="shared" si="6"/>
        <v>896162871.7</v>
      </c>
      <c r="M92" s="21">
        <f t="shared" si="10"/>
        <v>5376976895</v>
      </c>
      <c r="O92" s="23">
        <f t="shared" si="11"/>
        <v>2.11512E+16</v>
      </c>
    </row>
    <row r="93" ht="15.75" customHeight="1">
      <c r="B93" s="13">
        <v>92.0</v>
      </c>
      <c r="C93" s="16">
        <f t="shared" si="7"/>
        <v>658887371.5</v>
      </c>
      <c r="D93" s="16">
        <f t="shared" si="8"/>
        <v>23380029775650</v>
      </c>
      <c r="E93" s="16" t="str">
        <f t="shared" si="1"/>
        <v>9 h 51 min 24 s</v>
      </c>
      <c r="F93" s="19">
        <f t="shared" ref="F93:G93" si="101">F92*$A$8</f>
        <v>7.08564E+17</v>
      </c>
      <c r="G93" s="20">
        <f t="shared" si="101"/>
        <v>2.85541E+17</v>
      </c>
      <c r="H93" s="19" t="str">
        <f t="shared" si="3"/>
        <v>298720 h 57 min 26 s</v>
      </c>
      <c r="I93" s="20" t="str">
        <f t="shared" si="4"/>
        <v>120380 h 05 min 14 s</v>
      </c>
      <c r="J93" s="14" t="str">
        <f t="shared" si="41"/>
        <v>74680 d 5 h 39 min 01 s</v>
      </c>
      <c r="L93" s="21">
        <f t="shared" si="6"/>
        <v>1075395446</v>
      </c>
      <c r="M93" s="21">
        <f t="shared" si="10"/>
        <v>6452372341</v>
      </c>
      <c r="O93" s="23">
        <f t="shared" si="11"/>
        <v>3.17268E+16</v>
      </c>
    </row>
    <row r="94" ht="15.75" customHeight="1">
      <c r="B94" s="13">
        <v>93.0</v>
      </c>
      <c r="C94" s="16">
        <f t="shared" si="7"/>
        <v>823609214.3</v>
      </c>
      <c r="D94" s="16">
        <f t="shared" si="8"/>
        <v>30394038708345</v>
      </c>
      <c r="E94" s="16" t="str">
        <f t="shared" si="1"/>
        <v>10 h 15 min 03 s</v>
      </c>
      <c r="F94" s="19">
        <f t="shared" ref="F94:G94" si="102">F93*$A$8</f>
        <v>1.06285E+18</v>
      </c>
      <c r="G94" s="20">
        <f t="shared" si="102"/>
        <v>4.28311E+17</v>
      </c>
      <c r="H94" s="19" t="str">
        <f t="shared" si="3"/>
        <v>358465 h 08 min 55 s</v>
      </c>
      <c r="I94" s="20" t="str">
        <f t="shared" si="4"/>
        <v>144456 h 06 min 17 s</v>
      </c>
      <c r="J94" s="14" t="str">
        <f t="shared" si="41"/>
        <v>89616 d 6 h 47 min 56 s</v>
      </c>
      <c r="L94" s="21">
        <f t="shared" si="6"/>
        <v>1290474535</v>
      </c>
      <c r="M94" s="21">
        <f t="shared" si="10"/>
        <v>7742846876</v>
      </c>
      <c r="O94" s="23">
        <f t="shared" si="11"/>
        <v>4.75902E+16</v>
      </c>
    </row>
    <row r="95" ht="15.75" customHeight="1">
      <c r="B95" s="13">
        <v>94.0</v>
      </c>
      <c r="C95" s="16">
        <f t="shared" si="7"/>
        <v>1029511518</v>
      </c>
      <c r="D95" s="16">
        <f t="shared" si="8"/>
        <v>39512250320848</v>
      </c>
      <c r="E95" s="16" t="str">
        <f t="shared" si="1"/>
        <v>10 h 39 min 40 s</v>
      </c>
      <c r="F95" s="19">
        <f t="shared" ref="F95:G95" si="103">F94*$A$8</f>
        <v>1.59427E+18</v>
      </c>
      <c r="G95" s="20">
        <f t="shared" si="103"/>
        <v>6.42467E+17</v>
      </c>
      <c r="H95" s="19" t="str">
        <f t="shared" si="3"/>
        <v>430158 h 10 min 42 s</v>
      </c>
      <c r="I95" s="20" t="str">
        <f t="shared" si="4"/>
        <v>173347 h 19 min 32 s</v>
      </c>
      <c r="J95" s="14" t="str">
        <f t="shared" si="41"/>
        <v>107539 d 12 h 58 min 39 s</v>
      </c>
      <c r="L95" s="21">
        <f t="shared" si="6"/>
        <v>1548569442</v>
      </c>
      <c r="M95" s="21">
        <f t="shared" si="10"/>
        <v>9291416319</v>
      </c>
      <c r="O95" s="23">
        <f t="shared" si="11"/>
        <v>7.13852E+16</v>
      </c>
    </row>
    <row r="96" ht="15.75" customHeight="1">
      <c r="B96" s="13">
        <v>95.0</v>
      </c>
      <c r="C96" s="16">
        <f t="shared" si="7"/>
        <v>1286889397</v>
      </c>
      <c r="D96" s="16">
        <f t="shared" si="8"/>
        <v>51365925417102</v>
      </c>
      <c r="E96" s="16" t="str">
        <f t="shared" si="1"/>
        <v>11 h 05 min 15 s</v>
      </c>
      <c r="F96" s="19">
        <f t="shared" ref="F96:G96" si="104">F95*$A$8</f>
        <v>2.39141E+18</v>
      </c>
      <c r="G96" s="20">
        <f t="shared" si="104"/>
        <v>9.63701E+17</v>
      </c>
      <c r="H96" s="19" t="str">
        <f t="shared" si="3"/>
        <v>516189 h 48 min 51 s</v>
      </c>
      <c r="I96" s="20" t="str">
        <f t="shared" si="4"/>
        <v>208016 h 47 min 27 s</v>
      </c>
      <c r="J96" s="14" t="str">
        <f t="shared" si="41"/>
        <v>129047 d 10 h 47 min 29 s</v>
      </c>
      <c r="L96" s="21">
        <f t="shared" si="6"/>
        <v>1858283331</v>
      </c>
      <c r="M96" s="21">
        <f t="shared" si="10"/>
        <v>11149699649</v>
      </c>
      <c r="O96" s="23">
        <f t="shared" si="11"/>
        <v>1.07078E+17</v>
      </c>
    </row>
    <row r="97" ht="15.75" customHeight="1">
      <c r="B97" s="13">
        <v>96.0</v>
      </c>
      <c r="C97" s="16">
        <f t="shared" si="7"/>
        <v>1608611747</v>
      </c>
      <c r="D97" s="16">
        <f t="shared" si="8"/>
        <v>66775703042233</v>
      </c>
      <c r="E97" s="16" t="str">
        <f t="shared" si="1"/>
        <v>11 h 31 min 51 s</v>
      </c>
      <c r="F97" s="19">
        <f t="shared" ref="F97:G97" si="105">F96*$A$8</f>
        <v>3.58711E+18</v>
      </c>
      <c r="G97" s="20">
        <f t="shared" si="105"/>
        <v>1.44555E+18</v>
      </c>
      <c r="H97" s="19" t="str">
        <f t="shared" si="3"/>
        <v>619427 h 46 min 37 s</v>
      </c>
      <c r="I97" s="20" t="str">
        <f t="shared" si="4"/>
        <v>249620 h 08 min 56 s</v>
      </c>
      <c r="J97" s="14" t="str">
        <f t="shared" si="41"/>
        <v>154856 d 22 h 34 min 06 s</v>
      </c>
      <c r="L97" s="21">
        <f t="shared" si="6"/>
        <v>2229939997</v>
      </c>
      <c r="M97" s="21">
        <f t="shared" si="10"/>
        <v>13379639646</v>
      </c>
      <c r="O97" s="23">
        <f t="shared" si="11"/>
        <v>1.60617E+17</v>
      </c>
    </row>
    <row r="98" ht="15.75" customHeight="1">
      <c r="B98" s="13">
        <v>97.0</v>
      </c>
      <c r="C98" s="16">
        <f t="shared" si="7"/>
        <v>2010764683</v>
      </c>
      <c r="D98" s="16">
        <f t="shared" si="8"/>
        <v>86808413954903</v>
      </c>
      <c r="E98" s="16" t="str">
        <f t="shared" si="1"/>
        <v>11 h 59 min 32 s</v>
      </c>
      <c r="F98" s="19">
        <f t="shared" ref="F98:G98" si="106">F97*$A$8</f>
        <v>5.38066E+18</v>
      </c>
      <c r="G98" s="20">
        <f t="shared" si="106"/>
        <v>2.16833E+18</v>
      </c>
      <c r="H98" s="19" t="str">
        <f t="shared" si="3"/>
        <v>743313 h 19 min 56 s</v>
      </c>
      <c r="I98" s="20" t="str">
        <f t="shared" si="4"/>
        <v>299544 h 10 min 43 s</v>
      </c>
      <c r="J98" s="14" t="str">
        <f t="shared" si="41"/>
        <v>185828 d 7 h 54 min 02 s</v>
      </c>
      <c r="L98" s="21">
        <f t="shared" si="6"/>
        <v>2675927996</v>
      </c>
      <c r="M98" s="21">
        <f t="shared" si="10"/>
        <v>16055567642</v>
      </c>
      <c r="O98" s="23">
        <f t="shared" si="11"/>
        <v>2.40925E+17</v>
      </c>
    </row>
    <row r="99" ht="15.75" customHeight="1">
      <c r="B99" s="13">
        <v>98.0</v>
      </c>
      <c r="C99" s="16">
        <f t="shared" si="7"/>
        <v>2513455854</v>
      </c>
      <c r="D99" s="16">
        <f t="shared" si="8"/>
        <v>112850938141374</v>
      </c>
      <c r="E99" s="16" t="str">
        <f t="shared" si="1"/>
        <v>12 h 28 min 19 s</v>
      </c>
      <c r="F99" s="19">
        <f t="shared" ref="F99:G99" si="107">F98*$A$8</f>
        <v>8.07099E+18</v>
      </c>
      <c r="G99" s="20">
        <f t="shared" si="107"/>
        <v>3.25249E+18</v>
      </c>
      <c r="H99" s="19" t="str">
        <f t="shared" si="3"/>
        <v>891975 h 59 min 55 s</v>
      </c>
      <c r="I99" s="20" t="str">
        <f t="shared" si="4"/>
        <v>359453 h 00 min 52 s</v>
      </c>
      <c r="J99" s="14" t="str">
        <f t="shared" si="41"/>
        <v>222993 d 23 h 53 min 58 s</v>
      </c>
      <c r="L99" s="21">
        <f t="shared" si="6"/>
        <v>3211113595</v>
      </c>
      <c r="M99" s="21">
        <f t="shared" si="10"/>
        <v>19266681238</v>
      </c>
      <c r="O99" s="23">
        <f t="shared" si="11"/>
        <v>3.61388E+17</v>
      </c>
    </row>
    <row r="100" ht="15.75" customHeight="1">
      <c r="B100" s="13">
        <v>99.0</v>
      </c>
      <c r="C100" s="16">
        <f t="shared" si="7"/>
        <v>3141819818</v>
      </c>
      <c r="D100" s="16">
        <f t="shared" si="8"/>
        <v>146706219583786</v>
      </c>
      <c r="E100" s="16" t="str">
        <f t="shared" si="1"/>
        <v>12 h 58 min 15 s</v>
      </c>
      <c r="F100" s="19">
        <f t="shared" ref="F100:G100" si="108">F99*$A$8</f>
        <v>1.21065E+19</v>
      </c>
      <c r="G100" s="20">
        <f t="shared" si="108"/>
        <v>4.87873E+18</v>
      </c>
      <c r="H100" s="19" t="str">
        <f t="shared" si="3"/>
        <v>1070371 h 11 min 55 s</v>
      </c>
      <c r="I100" s="20" t="str">
        <f t="shared" si="4"/>
        <v>431343 h 37 min 02 s</v>
      </c>
      <c r="J100" s="14" t="str">
        <f t="shared" si="41"/>
        <v>267592 d 19 h 05 min 52 s</v>
      </c>
      <c r="L100" s="21">
        <f t="shared" si="6"/>
        <v>3853336315</v>
      </c>
      <c r="M100" s="21">
        <f t="shared" si="10"/>
        <v>23120017552</v>
      </c>
      <c r="O100" s="23">
        <f t="shared" si="11"/>
        <v>5.42082E+17</v>
      </c>
    </row>
    <row r="101" ht="15.75" customHeight="1">
      <c r="B101" s="13"/>
      <c r="D101" s="16"/>
      <c r="E101" s="16"/>
      <c r="F101" s="19"/>
      <c r="G101" s="20"/>
      <c r="H101" s="24"/>
      <c r="I101" s="25"/>
    </row>
    <row r="102" ht="15.75" customHeight="1">
      <c r="B102" s="13"/>
      <c r="D102" s="16"/>
      <c r="E102" s="16"/>
      <c r="F102" s="19"/>
      <c r="G102" s="20"/>
      <c r="H102" s="24"/>
      <c r="I102" s="25"/>
    </row>
    <row r="103" ht="15.75" customHeight="1">
      <c r="B103" s="13"/>
      <c r="D103" s="16"/>
      <c r="E103" s="16"/>
      <c r="F103" s="19"/>
      <c r="G103" s="20"/>
      <c r="H103" s="24"/>
      <c r="I103" s="25"/>
    </row>
    <row r="104" ht="15.75" customHeight="1">
      <c r="B104" s="13"/>
      <c r="D104" s="16"/>
      <c r="E104" s="16"/>
      <c r="F104" s="19"/>
      <c r="G104" s="20"/>
      <c r="H104" s="24"/>
      <c r="I104" s="25"/>
    </row>
    <row r="105" ht="15.75" customHeight="1">
      <c r="B105" s="13"/>
      <c r="D105" s="16"/>
      <c r="E105" s="16"/>
      <c r="F105" s="19"/>
      <c r="G105" s="20"/>
      <c r="H105" s="24"/>
      <c r="I105" s="25"/>
    </row>
    <row r="106" ht="15.75" customHeight="1">
      <c r="B106" s="13"/>
      <c r="D106" s="16"/>
      <c r="E106" s="16"/>
      <c r="F106" s="19"/>
      <c r="G106" s="20"/>
      <c r="H106" s="24"/>
      <c r="I106" s="25"/>
    </row>
    <row r="107" ht="15.75" customHeight="1">
      <c r="B107" s="13"/>
      <c r="D107" s="16"/>
      <c r="E107" s="16"/>
      <c r="F107" s="19"/>
      <c r="G107" s="20"/>
      <c r="H107" s="24"/>
      <c r="I107" s="25"/>
    </row>
    <row r="108" ht="15.75" customHeight="1">
      <c r="B108" s="13"/>
      <c r="D108" s="16"/>
      <c r="E108" s="16"/>
      <c r="F108" s="19"/>
      <c r="G108" s="20"/>
      <c r="H108" s="24"/>
      <c r="I108" s="25"/>
    </row>
    <row r="109" ht="15.75" customHeight="1">
      <c r="B109" s="13"/>
      <c r="D109" s="16"/>
      <c r="E109" s="16"/>
      <c r="F109" s="19"/>
      <c r="G109" s="20"/>
      <c r="H109" s="24"/>
      <c r="I109" s="25"/>
    </row>
    <row r="110" ht="15.75" customHeight="1">
      <c r="B110" s="13"/>
      <c r="D110" s="16"/>
      <c r="E110" s="16"/>
      <c r="F110" s="19"/>
      <c r="G110" s="20"/>
      <c r="H110" s="24"/>
      <c r="I110" s="25"/>
    </row>
    <row r="111" ht="15.75" customHeight="1">
      <c r="B111" s="13"/>
      <c r="D111" s="16"/>
      <c r="E111" s="16"/>
      <c r="F111" s="19"/>
      <c r="G111" s="20"/>
      <c r="H111" s="24"/>
      <c r="I111" s="25"/>
    </row>
    <row r="112" ht="15.75" customHeight="1">
      <c r="B112" s="13"/>
      <c r="D112" s="16"/>
      <c r="E112" s="16"/>
      <c r="F112" s="19"/>
      <c r="G112" s="20"/>
      <c r="H112" s="24"/>
      <c r="I112" s="25"/>
    </row>
    <row r="113" ht="15.75" customHeight="1">
      <c r="B113" s="13"/>
      <c r="D113" s="16"/>
      <c r="E113" s="16"/>
      <c r="F113" s="19"/>
      <c r="G113" s="20"/>
      <c r="H113" s="24"/>
      <c r="I113" s="25"/>
    </row>
    <row r="114" ht="15.75" customHeight="1">
      <c r="B114" s="13"/>
      <c r="D114" s="16"/>
      <c r="E114" s="16"/>
      <c r="F114" s="19"/>
      <c r="G114" s="20"/>
      <c r="H114" s="24"/>
      <c r="I114" s="25"/>
    </row>
    <row r="115" ht="15.75" customHeight="1">
      <c r="B115" s="13"/>
      <c r="D115" s="16"/>
      <c r="E115" s="16"/>
      <c r="F115" s="19"/>
      <c r="G115" s="20"/>
      <c r="H115" s="24"/>
      <c r="I115" s="25"/>
    </row>
    <row r="116" ht="15.75" customHeight="1">
      <c r="B116" s="13"/>
      <c r="D116" s="16"/>
      <c r="E116" s="16"/>
      <c r="F116" s="19"/>
      <c r="G116" s="20"/>
      <c r="H116" s="24"/>
      <c r="I116" s="25"/>
    </row>
    <row r="117" ht="15.75" customHeight="1">
      <c r="B117" s="13"/>
      <c r="D117" s="16"/>
      <c r="E117" s="16"/>
      <c r="F117" s="19"/>
      <c r="G117" s="20"/>
      <c r="H117" s="24"/>
      <c r="I117" s="25"/>
    </row>
    <row r="118" ht="15.75" customHeight="1">
      <c r="B118" s="13"/>
      <c r="D118" s="16"/>
      <c r="E118" s="16"/>
      <c r="F118" s="19"/>
      <c r="G118" s="20"/>
      <c r="H118" s="24"/>
      <c r="I118" s="25"/>
    </row>
    <row r="119" ht="15.75" customHeight="1">
      <c r="B119" s="13"/>
      <c r="D119" s="16"/>
      <c r="E119" s="16"/>
      <c r="F119" s="19"/>
      <c r="G119" s="20"/>
      <c r="H119" s="24"/>
      <c r="I119" s="25"/>
    </row>
    <row r="120" ht="15.75" customHeight="1">
      <c r="B120" s="13"/>
      <c r="D120" s="16"/>
      <c r="E120" s="16"/>
      <c r="F120" s="19"/>
      <c r="G120" s="20"/>
      <c r="H120" s="24"/>
      <c r="I120" s="25"/>
    </row>
    <row r="121" ht="15.75" customHeight="1">
      <c r="B121" s="13"/>
      <c r="D121" s="16"/>
      <c r="E121" s="16"/>
      <c r="F121" s="19"/>
      <c r="G121" s="20"/>
      <c r="H121" s="24"/>
      <c r="I121" s="25"/>
    </row>
    <row r="122" ht="15.75" customHeight="1">
      <c r="B122" s="13"/>
      <c r="D122" s="16"/>
      <c r="E122" s="16"/>
      <c r="F122" s="19"/>
      <c r="G122" s="20"/>
      <c r="H122" s="24"/>
      <c r="I122" s="25"/>
    </row>
    <row r="123" ht="15.75" customHeight="1">
      <c r="B123" s="13"/>
      <c r="D123" s="16"/>
      <c r="E123" s="16"/>
      <c r="F123" s="19"/>
      <c r="G123" s="20"/>
      <c r="H123" s="24"/>
      <c r="I123" s="25"/>
    </row>
    <row r="124" ht="15.75" customHeight="1">
      <c r="B124" s="13"/>
      <c r="D124" s="16"/>
      <c r="E124" s="16"/>
      <c r="F124" s="19"/>
      <c r="G124" s="20"/>
      <c r="H124" s="24"/>
      <c r="I124" s="25"/>
    </row>
    <row r="125" ht="15.75" customHeight="1">
      <c r="B125" s="13"/>
      <c r="D125" s="16"/>
      <c r="E125" s="16"/>
      <c r="F125" s="19"/>
      <c r="G125" s="20"/>
      <c r="H125" s="24"/>
      <c r="I125" s="25"/>
    </row>
    <row r="126" ht="15.75" customHeight="1">
      <c r="B126" s="13"/>
      <c r="D126" s="16"/>
      <c r="E126" s="16"/>
      <c r="F126" s="19"/>
      <c r="G126" s="20"/>
      <c r="H126" s="24"/>
      <c r="I126" s="25"/>
    </row>
    <row r="127" ht="15.75" customHeight="1">
      <c r="B127" s="13"/>
      <c r="D127" s="16"/>
      <c r="E127" s="16"/>
      <c r="F127" s="19"/>
      <c r="G127" s="20"/>
      <c r="H127" s="24"/>
      <c r="I127" s="25"/>
    </row>
    <row r="128" ht="15.75" customHeight="1">
      <c r="B128" s="13"/>
      <c r="D128" s="16"/>
      <c r="E128" s="16"/>
      <c r="F128" s="19"/>
      <c r="G128" s="20"/>
      <c r="H128" s="24"/>
      <c r="I128" s="25"/>
    </row>
    <row r="129" ht="15.75" customHeight="1">
      <c r="B129" s="13"/>
      <c r="D129" s="16"/>
      <c r="E129" s="16"/>
      <c r="F129" s="19"/>
      <c r="G129" s="20"/>
      <c r="H129" s="24"/>
      <c r="I129" s="25"/>
    </row>
    <row r="130" ht="15.75" customHeight="1">
      <c r="B130" s="13"/>
      <c r="D130" s="16"/>
      <c r="E130" s="16"/>
      <c r="F130" s="19"/>
      <c r="G130" s="20"/>
      <c r="H130" s="24"/>
      <c r="I130" s="25"/>
    </row>
    <row r="131" ht="15.75" customHeight="1">
      <c r="B131" s="13"/>
      <c r="D131" s="16"/>
      <c r="E131" s="16"/>
      <c r="F131" s="19"/>
      <c r="G131" s="20"/>
      <c r="H131" s="24"/>
      <c r="I131" s="25"/>
    </row>
    <row r="132" ht="15.75" customHeight="1">
      <c r="B132" s="13"/>
      <c r="D132" s="16"/>
      <c r="E132" s="16"/>
      <c r="F132" s="19"/>
      <c r="G132" s="20"/>
      <c r="H132" s="24"/>
      <c r="I132" s="25"/>
    </row>
    <row r="133" ht="15.75" customHeight="1">
      <c r="B133" s="13"/>
      <c r="D133" s="16"/>
      <c r="E133" s="16"/>
      <c r="F133" s="19"/>
      <c r="G133" s="20"/>
      <c r="H133" s="24"/>
      <c r="I133" s="25"/>
    </row>
    <row r="134" ht="15.75" customHeight="1">
      <c r="B134" s="13"/>
      <c r="D134" s="16"/>
      <c r="E134" s="16"/>
      <c r="F134" s="19"/>
      <c r="G134" s="20"/>
      <c r="H134" s="24"/>
      <c r="I134" s="25"/>
    </row>
    <row r="135" ht="15.75" customHeight="1">
      <c r="B135" s="13"/>
      <c r="D135" s="16"/>
      <c r="E135" s="16"/>
      <c r="F135" s="19"/>
      <c r="G135" s="20"/>
      <c r="H135" s="24"/>
      <c r="I135" s="25"/>
    </row>
    <row r="136" ht="15.75" customHeight="1">
      <c r="B136" s="13"/>
      <c r="D136" s="16"/>
      <c r="E136" s="16"/>
      <c r="F136" s="19"/>
      <c r="G136" s="20"/>
      <c r="H136" s="24"/>
      <c r="I136" s="25"/>
    </row>
    <row r="137" ht="15.75" customHeight="1">
      <c r="B137" s="13"/>
      <c r="D137" s="16"/>
      <c r="E137" s="16"/>
      <c r="F137" s="19"/>
      <c r="G137" s="20"/>
      <c r="H137" s="24"/>
      <c r="I137" s="25"/>
    </row>
    <row r="138" ht="15.75" customHeight="1">
      <c r="B138" s="13"/>
      <c r="D138" s="16"/>
      <c r="E138" s="16"/>
      <c r="F138" s="19"/>
      <c r="G138" s="20"/>
      <c r="H138" s="24"/>
      <c r="I138" s="25"/>
    </row>
    <row r="139" ht="15.75" customHeight="1">
      <c r="B139" s="13"/>
      <c r="D139" s="16"/>
      <c r="E139" s="16"/>
      <c r="F139" s="19"/>
      <c r="G139" s="20"/>
      <c r="H139" s="24"/>
      <c r="I139" s="25"/>
    </row>
    <row r="140" ht="15.75" customHeight="1">
      <c r="B140" s="13"/>
      <c r="D140" s="16"/>
      <c r="E140" s="16"/>
      <c r="F140" s="19"/>
      <c r="G140" s="20"/>
      <c r="H140" s="24"/>
      <c r="I140" s="25"/>
    </row>
    <row r="141" ht="15.75" customHeight="1">
      <c r="B141" s="13"/>
      <c r="D141" s="16"/>
      <c r="E141" s="16"/>
      <c r="F141" s="19"/>
      <c r="G141" s="20"/>
      <c r="H141" s="24"/>
      <c r="I141" s="25"/>
    </row>
    <row r="142" ht="15.75" customHeight="1">
      <c r="B142" s="13"/>
      <c r="D142" s="16"/>
      <c r="E142" s="16"/>
      <c r="F142" s="19"/>
      <c r="G142" s="20"/>
      <c r="H142" s="24"/>
      <c r="I142" s="25"/>
    </row>
    <row r="143" ht="15.75" customHeight="1">
      <c r="B143" s="13"/>
      <c r="D143" s="16"/>
      <c r="E143" s="16"/>
      <c r="F143" s="19"/>
      <c r="G143" s="20"/>
      <c r="H143" s="24"/>
      <c r="I143" s="25"/>
    </row>
    <row r="144" ht="15.75" customHeight="1">
      <c r="B144" s="13"/>
      <c r="D144" s="16"/>
      <c r="E144" s="16"/>
      <c r="F144" s="19"/>
      <c r="G144" s="20"/>
      <c r="H144" s="24"/>
      <c r="I144" s="25"/>
    </row>
    <row r="145" ht="15.75" customHeight="1">
      <c r="B145" s="13"/>
      <c r="D145" s="16"/>
      <c r="E145" s="16"/>
      <c r="F145" s="19"/>
      <c r="G145" s="20"/>
      <c r="H145" s="24"/>
      <c r="I145" s="25"/>
    </row>
    <row r="146" ht="15.75" customHeight="1">
      <c r="B146" s="13"/>
      <c r="D146" s="16"/>
      <c r="E146" s="16"/>
      <c r="F146" s="19"/>
      <c r="G146" s="20"/>
      <c r="H146" s="24"/>
      <c r="I146" s="25"/>
    </row>
    <row r="147" ht="15.75" customHeight="1">
      <c r="B147" s="13"/>
      <c r="D147" s="16"/>
      <c r="E147" s="16"/>
      <c r="F147" s="19"/>
      <c r="G147" s="20"/>
      <c r="H147" s="24"/>
      <c r="I147" s="25"/>
    </row>
    <row r="148" ht="15.75" customHeight="1">
      <c r="B148" s="13"/>
      <c r="D148" s="16"/>
      <c r="E148" s="16"/>
      <c r="F148" s="19"/>
      <c r="G148" s="20"/>
      <c r="H148" s="24"/>
      <c r="I148" s="25"/>
    </row>
    <row r="149" ht="15.75" customHeight="1">
      <c r="B149" s="13"/>
      <c r="D149" s="16"/>
      <c r="E149" s="16"/>
      <c r="F149" s="19"/>
      <c r="G149" s="20"/>
      <c r="H149" s="24"/>
      <c r="I149" s="25"/>
    </row>
    <row r="150" ht="15.75" customHeight="1">
      <c r="B150" s="13"/>
      <c r="D150" s="16"/>
      <c r="E150" s="16"/>
      <c r="F150" s="19"/>
      <c r="G150" s="20"/>
      <c r="H150" s="24"/>
      <c r="I150" s="25"/>
    </row>
    <row r="151" ht="15.75" customHeight="1">
      <c r="B151" s="13"/>
      <c r="D151" s="16"/>
      <c r="E151" s="16"/>
      <c r="F151" s="19"/>
      <c r="G151" s="20"/>
      <c r="H151" s="24"/>
      <c r="I151" s="25"/>
    </row>
    <row r="152" ht="15.75" customHeight="1">
      <c r="B152" s="13"/>
      <c r="D152" s="16"/>
      <c r="E152" s="16"/>
      <c r="F152" s="19"/>
      <c r="G152" s="20"/>
      <c r="H152" s="24"/>
      <c r="I152" s="25"/>
    </row>
    <row r="153" ht="15.75" customHeight="1">
      <c r="B153" s="13"/>
      <c r="D153" s="16"/>
      <c r="E153" s="16"/>
      <c r="F153" s="19"/>
      <c r="G153" s="20"/>
      <c r="H153" s="24"/>
      <c r="I153" s="25"/>
    </row>
    <row r="154" ht="15.75" customHeight="1">
      <c r="B154" s="13"/>
      <c r="D154" s="16"/>
      <c r="E154" s="16"/>
      <c r="F154" s="19"/>
      <c r="G154" s="20"/>
      <c r="H154" s="24"/>
      <c r="I154" s="25"/>
    </row>
    <row r="155" ht="15.75" customHeight="1">
      <c r="B155" s="13"/>
      <c r="D155" s="16"/>
      <c r="E155" s="16"/>
      <c r="F155" s="19"/>
      <c r="G155" s="20"/>
      <c r="H155" s="24"/>
      <c r="I155" s="25"/>
    </row>
    <row r="156" ht="15.75" customHeight="1">
      <c r="B156" s="13"/>
      <c r="D156" s="16"/>
      <c r="E156" s="16"/>
      <c r="F156" s="19"/>
      <c r="G156" s="20"/>
      <c r="H156" s="24"/>
      <c r="I156" s="25"/>
    </row>
    <row r="157" ht="15.75" customHeight="1">
      <c r="B157" s="13"/>
      <c r="D157" s="16"/>
      <c r="E157" s="16"/>
      <c r="F157" s="19"/>
      <c r="G157" s="20"/>
      <c r="H157" s="24"/>
      <c r="I157" s="25"/>
    </row>
    <row r="158" ht="15.75" customHeight="1">
      <c r="B158" s="13"/>
      <c r="D158" s="16"/>
      <c r="E158" s="16"/>
      <c r="F158" s="19"/>
      <c r="G158" s="20"/>
      <c r="H158" s="24"/>
      <c r="I158" s="25"/>
    </row>
    <row r="159" ht="15.75" customHeight="1">
      <c r="B159" s="13"/>
      <c r="D159" s="16"/>
      <c r="E159" s="16"/>
      <c r="F159" s="19"/>
      <c r="G159" s="20"/>
      <c r="H159" s="24"/>
      <c r="I159" s="25"/>
    </row>
    <row r="160" ht="15.75" customHeight="1">
      <c r="B160" s="13"/>
      <c r="D160" s="16"/>
      <c r="E160" s="16"/>
      <c r="F160" s="19"/>
      <c r="G160" s="20"/>
      <c r="H160" s="24"/>
      <c r="I160" s="25"/>
    </row>
    <row r="161" ht="15.75" customHeight="1">
      <c r="B161" s="13"/>
      <c r="D161" s="16"/>
      <c r="E161" s="16"/>
      <c r="F161" s="19"/>
      <c r="G161" s="20"/>
      <c r="H161" s="24"/>
      <c r="I161" s="25"/>
    </row>
    <row r="162" ht="15.75" customHeight="1">
      <c r="B162" s="13"/>
      <c r="D162" s="16"/>
      <c r="E162" s="16"/>
      <c r="F162" s="19"/>
      <c r="G162" s="20"/>
      <c r="H162" s="24"/>
      <c r="I162" s="25"/>
    </row>
    <row r="163" ht="15.75" customHeight="1">
      <c r="B163" s="13"/>
      <c r="D163" s="16"/>
      <c r="E163" s="16"/>
      <c r="F163" s="19"/>
      <c r="G163" s="20"/>
      <c r="H163" s="24"/>
      <c r="I163" s="25"/>
    </row>
    <row r="164" ht="15.75" customHeight="1">
      <c r="B164" s="13"/>
      <c r="D164" s="16"/>
      <c r="E164" s="16"/>
      <c r="F164" s="19"/>
      <c r="G164" s="20"/>
      <c r="H164" s="24"/>
      <c r="I164" s="25"/>
    </row>
    <row r="165" ht="15.75" customHeight="1">
      <c r="B165" s="13"/>
      <c r="D165" s="16"/>
      <c r="E165" s="16"/>
      <c r="F165" s="19"/>
      <c r="G165" s="20"/>
      <c r="H165" s="24"/>
      <c r="I165" s="25"/>
    </row>
    <row r="166" ht="15.75" customHeight="1">
      <c r="B166" s="13"/>
      <c r="D166" s="16"/>
      <c r="E166" s="16"/>
      <c r="F166" s="19"/>
      <c r="G166" s="20"/>
      <c r="H166" s="24"/>
      <c r="I166" s="25"/>
    </row>
    <row r="167" ht="15.75" customHeight="1">
      <c r="B167" s="13"/>
      <c r="D167" s="16"/>
      <c r="E167" s="16"/>
      <c r="F167" s="19"/>
      <c r="G167" s="20"/>
      <c r="H167" s="24"/>
      <c r="I167" s="25"/>
    </row>
    <row r="168" ht="15.75" customHeight="1">
      <c r="B168" s="13"/>
      <c r="D168" s="16"/>
      <c r="E168" s="16"/>
      <c r="F168" s="19"/>
      <c r="G168" s="20"/>
      <c r="H168" s="24"/>
      <c r="I168" s="25"/>
    </row>
    <row r="169" ht="15.75" customHeight="1">
      <c r="B169" s="13"/>
      <c r="D169" s="16"/>
      <c r="E169" s="16"/>
      <c r="F169" s="19"/>
      <c r="G169" s="20"/>
      <c r="H169" s="24"/>
      <c r="I169" s="25"/>
    </row>
    <row r="170" ht="15.75" customHeight="1">
      <c r="B170" s="13"/>
      <c r="D170" s="16"/>
      <c r="E170" s="16"/>
      <c r="F170" s="19"/>
      <c r="G170" s="20"/>
      <c r="H170" s="24"/>
      <c r="I170" s="25"/>
    </row>
    <row r="171" ht="15.75" customHeight="1">
      <c r="B171" s="13"/>
      <c r="D171" s="16"/>
      <c r="E171" s="16"/>
      <c r="F171" s="19"/>
      <c r="G171" s="20"/>
      <c r="H171" s="24"/>
      <c r="I171" s="25"/>
    </row>
    <row r="172" ht="15.75" customHeight="1">
      <c r="B172" s="13"/>
      <c r="D172" s="16"/>
      <c r="E172" s="16"/>
      <c r="F172" s="19"/>
      <c r="G172" s="20"/>
      <c r="H172" s="24"/>
      <c r="I172" s="25"/>
    </row>
    <row r="173" ht="15.75" customHeight="1">
      <c r="B173" s="13"/>
      <c r="D173" s="16"/>
      <c r="E173" s="16"/>
      <c r="F173" s="19"/>
      <c r="G173" s="20"/>
      <c r="H173" s="24"/>
      <c r="I173" s="25"/>
    </row>
    <row r="174" ht="15.75" customHeight="1">
      <c r="B174" s="13"/>
      <c r="D174" s="16"/>
      <c r="E174" s="16"/>
      <c r="F174" s="19"/>
      <c r="G174" s="20"/>
      <c r="H174" s="24"/>
      <c r="I174" s="25"/>
    </row>
    <row r="175" ht="15.75" customHeight="1">
      <c r="B175" s="13"/>
      <c r="D175" s="16"/>
      <c r="E175" s="16"/>
      <c r="F175" s="19"/>
      <c r="G175" s="20"/>
      <c r="H175" s="24"/>
      <c r="I175" s="25"/>
    </row>
    <row r="176" ht="15.75" customHeight="1">
      <c r="B176" s="13"/>
      <c r="D176" s="16"/>
      <c r="E176" s="16"/>
      <c r="F176" s="19"/>
      <c r="G176" s="20"/>
      <c r="H176" s="24"/>
      <c r="I176" s="25"/>
    </row>
    <row r="177" ht="15.75" customHeight="1">
      <c r="B177" s="13"/>
      <c r="D177" s="16"/>
      <c r="E177" s="16"/>
      <c r="F177" s="19"/>
      <c r="G177" s="20"/>
      <c r="H177" s="24"/>
      <c r="I177" s="25"/>
    </row>
    <row r="178" ht="15.75" customHeight="1">
      <c r="B178" s="13"/>
      <c r="D178" s="16"/>
      <c r="E178" s="16"/>
      <c r="F178" s="19"/>
      <c r="G178" s="20"/>
      <c r="H178" s="24"/>
      <c r="I178" s="25"/>
    </row>
    <row r="179" ht="15.75" customHeight="1">
      <c r="B179" s="13"/>
      <c r="D179" s="16"/>
      <c r="E179" s="16"/>
      <c r="F179" s="19"/>
      <c r="G179" s="20"/>
      <c r="H179" s="24"/>
      <c r="I179" s="25"/>
    </row>
    <row r="180" ht="15.75" customHeight="1">
      <c r="B180" s="13"/>
      <c r="D180" s="16"/>
      <c r="E180" s="16"/>
      <c r="F180" s="19"/>
      <c r="G180" s="20"/>
      <c r="H180" s="24"/>
      <c r="I180" s="25"/>
    </row>
    <row r="181" ht="15.75" customHeight="1">
      <c r="B181" s="13"/>
      <c r="D181" s="16"/>
      <c r="E181" s="16"/>
      <c r="F181" s="19"/>
      <c r="G181" s="20"/>
      <c r="H181" s="24"/>
      <c r="I181" s="25"/>
    </row>
    <row r="182" ht="15.75" customHeight="1">
      <c r="B182" s="13"/>
      <c r="D182" s="16"/>
      <c r="E182" s="16"/>
      <c r="F182" s="19"/>
      <c r="G182" s="20"/>
      <c r="H182" s="24"/>
      <c r="I182" s="25"/>
    </row>
    <row r="183" ht="15.75" customHeight="1">
      <c r="B183" s="13"/>
      <c r="D183" s="16"/>
      <c r="E183" s="16"/>
      <c r="F183" s="19"/>
      <c r="G183" s="20"/>
      <c r="H183" s="24"/>
      <c r="I183" s="25"/>
    </row>
    <row r="184" ht="15.75" customHeight="1">
      <c r="B184" s="13"/>
      <c r="D184" s="16"/>
      <c r="E184" s="16"/>
      <c r="F184" s="19"/>
      <c r="G184" s="20"/>
      <c r="H184" s="24"/>
      <c r="I184" s="25"/>
    </row>
    <row r="185" ht="15.75" customHeight="1">
      <c r="B185" s="13"/>
      <c r="D185" s="16"/>
      <c r="E185" s="16"/>
      <c r="F185" s="19"/>
      <c r="G185" s="20"/>
      <c r="H185" s="24"/>
      <c r="I185" s="25"/>
    </row>
    <row r="186" ht="15.75" customHeight="1">
      <c r="B186" s="13"/>
      <c r="D186" s="16"/>
      <c r="E186" s="16"/>
      <c r="F186" s="19"/>
      <c r="G186" s="20"/>
      <c r="H186" s="24"/>
      <c r="I186" s="25"/>
    </row>
    <row r="187" ht="15.75" customHeight="1">
      <c r="B187" s="13"/>
      <c r="D187" s="16"/>
      <c r="E187" s="16"/>
      <c r="F187" s="19"/>
      <c r="G187" s="20"/>
      <c r="H187" s="24"/>
      <c r="I187" s="25"/>
    </row>
    <row r="188" ht="15.75" customHeight="1">
      <c r="B188" s="13"/>
      <c r="D188" s="16"/>
      <c r="E188" s="16"/>
      <c r="F188" s="19"/>
      <c r="G188" s="20"/>
      <c r="H188" s="24"/>
      <c r="I188" s="25"/>
    </row>
    <row r="189" ht="15.75" customHeight="1">
      <c r="B189" s="13"/>
      <c r="D189" s="16"/>
      <c r="E189" s="16"/>
      <c r="F189" s="19"/>
      <c r="G189" s="20"/>
      <c r="H189" s="24"/>
      <c r="I189" s="25"/>
    </row>
    <row r="190" ht="15.75" customHeight="1">
      <c r="B190" s="13"/>
      <c r="D190" s="16"/>
      <c r="E190" s="16"/>
      <c r="F190" s="19"/>
      <c r="G190" s="20"/>
      <c r="H190" s="24"/>
      <c r="I190" s="25"/>
    </row>
    <row r="191" ht="15.75" customHeight="1">
      <c r="B191" s="13"/>
      <c r="D191" s="16"/>
      <c r="E191" s="16"/>
      <c r="F191" s="19"/>
      <c r="G191" s="20"/>
      <c r="H191" s="24"/>
      <c r="I191" s="25"/>
    </row>
    <row r="192" ht="15.75" customHeight="1">
      <c r="B192" s="13"/>
      <c r="D192" s="16"/>
      <c r="E192" s="16"/>
      <c r="F192" s="19"/>
      <c r="G192" s="20"/>
      <c r="H192" s="24"/>
      <c r="I192" s="25"/>
    </row>
    <row r="193" ht="15.75" customHeight="1">
      <c r="B193" s="13"/>
      <c r="D193" s="16"/>
      <c r="E193" s="16"/>
      <c r="F193" s="19"/>
      <c r="G193" s="20"/>
      <c r="H193" s="24"/>
      <c r="I193" s="25"/>
    </row>
    <row r="194" ht="15.75" customHeight="1">
      <c r="B194" s="13"/>
      <c r="D194" s="16"/>
      <c r="E194" s="16"/>
      <c r="F194" s="19"/>
      <c r="G194" s="20"/>
      <c r="H194" s="24"/>
      <c r="I194" s="25"/>
    </row>
    <row r="195" ht="15.75" customHeight="1">
      <c r="B195" s="13"/>
      <c r="D195" s="16"/>
      <c r="E195" s="16"/>
      <c r="F195" s="19"/>
      <c r="G195" s="20"/>
      <c r="H195" s="24"/>
      <c r="I195" s="25"/>
    </row>
    <row r="196" ht="15.75" customHeight="1">
      <c r="B196" s="13"/>
      <c r="D196" s="16"/>
      <c r="E196" s="16"/>
      <c r="F196" s="19"/>
      <c r="G196" s="20"/>
      <c r="H196" s="24"/>
      <c r="I196" s="25"/>
    </row>
    <row r="197" ht="15.75" customHeight="1">
      <c r="B197" s="13"/>
      <c r="D197" s="16"/>
      <c r="E197" s="16"/>
      <c r="F197" s="19"/>
      <c r="G197" s="20"/>
      <c r="H197" s="24"/>
      <c r="I197" s="25"/>
    </row>
    <row r="198" ht="15.75" customHeight="1">
      <c r="B198" s="13"/>
      <c r="D198" s="16"/>
      <c r="E198" s="16"/>
      <c r="F198" s="19"/>
      <c r="G198" s="20"/>
      <c r="H198" s="24"/>
      <c r="I198" s="25"/>
    </row>
    <row r="199" ht="15.75" customHeight="1">
      <c r="B199" s="13"/>
      <c r="D199" s="16"/>
      <c r="E199" s="16"/>
      <c r="F199" s="19"/>
      <c r="G199" s="20"/>
      <c r="H199" s="24"/>
      <c r="I199" s="25"/>
    </row>
    <row r="200" ht="15.75" customHeight="1">
      <c r="B200" s="13"/>
      <c r="D200" s="16"/>
      <c r="E200" s="16"/>
      <c r="F200" s="19"/>
      <c r="G200" s="20"/>
      <c r="H200" s="24"/>
      <c r="I200" s="25"/>
    </row>
    <row r="201" ht="15.75" customHeight="1">
      <c r="B201" s="13"/>
      <c r="D201" s="16"/>
      <c r="E201" s="16"/>
      <c r="F201" s="19"/>
      <c r="G201" s="20"/>
      <c r="H201" s="24"/>
      <c r="I201" s="25"/>
    </row>
    <row r="202" ht="15.75" customHeight="1">
      <c r="B202" s="13"/>
      <c r="D202" s="16"/>
      <c r="E202" s="16"/>
      <c r="F202" s="19"/>
      <c r="G202" s="20"/>
      <c r="H202" s="24"/>
      <c r="I202" s="25"/>
    </row>
    <row r="203" ht="15.75" customHeight="1">
      <c r="B203" s="13"/>
      <c r="D203" s="16"/>
      <c r="E203" s="16"/>
      <c r="F203" s="19"/>
      <c r="G203" s="20"/>
      <c r="H203" s="24"/>
      <c r="I203" s="25"/>
    </row>
    <row r="204" ht="15.75" customHeight="1">
      <c r="B204" s="13"/>
      <c r="D204" s="16"/>
      <c r="E204" s="16"/>
      <c r="F204" s="19"/>
      <c r="G204" s="20"/>
      <c r="H204" s="24"/>
      <c r="I204" s="25"/>
    </row>
    <row r="205" ht="15.75" customHeight="1">
      <c r="B205" s="13"/>
      <c r="D205" s="16"/>
      <c r="E205" s="16"/>
      <c r="F205" s="19"/>
      <c r="G205" s="20"/>
      <c r="H205" s="24"/>
      <c r="I205" s="25"/>
    </row>
    <row r="206" ht="15.75" customHeight="1">
      <c r="B206" s="13"/>
      <c r="D206" s="16"/>
      <c r="E206" s="16"/>
      <c r="F206" s="19"/>
      <c r="G206" s="20"/>
      <c r="H206" s="24"/>
      <c r="I206" s="25"/>
    </row>
    <row r="207" ht="15.75" customHeight="1">
      <c r="B207" s="13"/>
      <c r="D207" s="16"/>
      <c r="E207" s="16"/>
      <c r="F207" s="19"/>
      <c r="G207" s="20"/>
      <c r="H207" s="24"/>
      <c r="I207" s="25"/>
    </row>
    <row r="208" ht="15.75" customHeight="1">
      <c r="B208" s="13"/>
      <c r="D208" s="16"/>
      <c r="E208" s="16"/>
      <c r="F208" s="19"/>
      <c r="G208" s="20"/>
      <c r="H208" s="24"/>
      <c r="I208" s="25"/>
    </row>
    <row r="209" ht="15.75" customHeight="1">
      <c r="B209" s="13"/>
      <c r="D209" s="16"/>
      <c r="E209" s="16"/>
      <c r="F209" s="19"/>
      <c r="G209" s="20"/>
      <c r="H209" s="24"/>
      <c r="I209" s="25"/>
    </row>
    <row r="210" ht="15.75" customHeight="1">
      <c r="B210" s="13"/>
      <c r="D210" s="16"/>
      <c r="E210" s="16"/>
      <c r="F210" s="19"/>
      <c r="G210" s="20"/>
      <c r="H210" s="24"/>
      <c r="I210" s="25"/>
    </row>
    <row r="211" ht="15.75" customHeight="1">
      <c r="B211" s="13"/>
      <c r="D211" s="16"/>
      <c r="E211" s="16"/>
      <c r="F211" s="19"/>
      <c r="G211" s="20"/>
      <c r="H211" s="24"/>
      <c r="I211" s="25"/>
    </row>
    <row r="212" ht="15.75" customHeight="1">
      <c r="B212" s="13"/>
      <c r="D212" s="16"/>
      <c r="E212" s="16"/>
      <c r="F212" s="19"/>
      <c r="G212" s="20"/>
      <c r="H212" s="24"/>
      <c r="I212" s="25"/>
    </row>
    <row r="213" ht="15.75" customHeight="1">
      <c r="B213" s="13"/>
      <c r="D213" s="16"/>
      <c r="E213" s="16"/>
      <c r="F213" s="19"/>
      <c r="G213" s="20"/>
      <c r="H213" s="24"/>
      <c r="I213" s="25"/>
    </row>
    <row r="214" ht="15.75" customHeight="1">
      <c r="B214" s="13"/>
      <c r="D214" s="16"/>
      <c r="E214" s="16"/>
      <c r="F214" s="19"/>
      <c r="G214" s="20"/>
      <c r="H214" s="24"/>
      <c r="I214" s="25"/>
    </row>
    <row r="215" ht="15.75" customHeight="1">
      <c r="B215" s="13"/>
      <c r="D215" s="16"/>
      <c r="E215" s="16"/>
      <c r="F215" s="19"/>
      <c r="G215" s="20"/>
      <c r="H215" s="24"/>
      <c r="I215" s="25"/>
    </row>
    <row r="216" ht="15.75" customHeight="1">
      <c r="B216" s="13"/>
      <c r="D216" s="16"/>
      <c r="E216" s="16"/>
      <c r="F216" s="19"/>
      <c r="G216" s="20"/>
      <c r="H216" s="24"/>
      <c r="I216" s="25"/>
    </row>
    <row r="217" ht="15.75" customHeight="1">
      <c r="B217" s="13"/>
      <c r="D217" s="16"/>
      <c r="E217" s="16"/>
      <c r="F217" s="19"/>
      <c r="G217" s="20"/>
      <c r="H217" s="24"/>
      <c r="I217" s="25"/>
    </row>
    <row r="218" ht="15.75" customHeight="1">
      <c r="B218" s="13"/>
      <c r="D218" s="16"/>
      <c r="E218" s="16"/>
      <c r="F218" s="19"/>
      <c r="G218" s="20"/>
      <c r="H218" s="24"/>
      <c r="I218" s="25"/>
    </row>
    <row r="219" ht="15.75" customHeight="1">
      <c r="B219" s="13"/>
      <c r="D219" s="16"/>
      <c r="E219" s="16"/>
      <c r="F219" s="19"/>
      <c r="G219" s="20"/>
      <c r="H219" s="24"/>
      <c r="I219" s="25"/>
    </row>
    <row r="220" ht="15.75" customHeight="1">
      <c r="B220" s="13"/>
      <c r="D220" s="16"/>
      <c r="E220" s="16"/>
      <c r="F220" s="19"/>
      <c r="G220" s="20"/>
      <c r="H220" s="24"/>
      <c r="I220" s="25"/>
    </row>
    <row r="221" ht="15.75" customHeight="1">
      <c r="B221" s="13"/>
      <c r="D221" s="16"/>
      <c r="E221" s="16"/>
      <c r="F221" s="19"/>
      <c r="G221" s="20"/>
      <c r="H221" s="24"/>
      <c r="I221" s="25"/>
    </row>
    <row r="222" ht="15.75" customHeight="1">
      <c r="B222" s="13"/>
      <c r="D222" s="16"/>
      <c r="E222" s="16"/>
      <c r="F222" s="19"/>
      <c r="G222" s="20"/>
      <c r="H222" s="24"/>
      <c r="I222" s="25"/>
    </row>
    <row r="223" ht="15.75" customHeight="1">
      <c r="B223" s="13"/>
      <c r="D223" s="16"/>
      <c r="E223" s="16"/>
      <c r="F223" s="19"/>
      <c r="G223" s="20"/>
      <c r="H223" s="24"/>
      <c r="I223" s="25"/>
    </row>
    <row r="224" ht="15.75" customHeight="1">
      <c r="B224" s="13"/>
      <c r="D224" s="16"/>
      <c r="E224" s="16"/>
      <c r="F224" s="19"/>
      <c r="G224" s="20"/>
      <c r="H224" s="24"/>
      <c r="I224" s="25"/>
    </row>
    <row r="225" ht="15.75" customHeight="1">
      <c r="B225" s="13"/>
      <c r="D225" s="16"/>
      <c r="E225" s="16"/>
      <c r="F225" s="19"/>
      <c r="G225" s="20"/>
      <c r="H225" s="24"/>
      <c r="I225" s="25"/>
    </row>
    <row r="226" ht="15.75" customHeight="1">
      <c r="B226" s="13"/>
      <c r="D226" s="16"/>
      <c r="E226" s="16"/>
      <c r="F226" s="19"/>
      <c r="G226" s="20"/>
      <c r="H226" s="24"/>
      <c r="I226" s="25"/>
    </row>
    <row r="227" ht="15.75" customHeight="1">
      <c r="B227" s="13"/>
      <c r="D227" s="16"/>
      <c r="E227" s="16"/>
      <c r="F227" s="19"/>
      <c r="G227" s="20"/>
      <c r="H227" s="24"/>
      <c r="I227" s="25"/>
    </row>
    <row r="228" ht="15.75" customHeight="1">
      <c r="B228" s="13"/>
      <c r="D228" s="16"/>
      <c r="E228" s="16"/>
      <c r="F228" s="19"/>
      <c r="G228" s="20"/>
      <c r="H228" s="24"/>
      <c r="I228" s="25"/>
    </row>
    <row r="229" ht="15.75" customHeight="1">
      <c r="B229" s="13"/>
      <c r="D229" s="16"/>
      <c r="E229" s="16"/>
      <c r="F229" s="19"/>
      <c r="G229" s="20"/>
      <c r="H229" s="24"/>
      <c r="I229" s="25"/>
    </row>
    <row r="230" ht="15.75" customHeight="1">
      <c r="B230" s="13"/>
      <c r="D230" s="16"/>
      <c r="E230" s="16"/>
      <c r="F230" s="19"/>
      <c r="G230" s="20"/>
      <c r="H230" s="24"/>
      <c r="I230" s="25"/>
    </row>
    <row r="231" ht="15.75" customHeight="1">
      <c r="B231" s="13"/>
      <c r="D231" s="16"/>
      <c r="E231" s="16"/>
      <c r="F231" s="19"/>
      <c r="G231" s="20"/>
      <c r="H231" s="24"/>
      <c r="I231" s="25"/>
    </row>
    <row r="232" ht="15.75" customHeight="1">
      <c r="B232" s="13"/>
      <c r="D232" s="16"/>
      <c r="E232" s="16"/>
      <c r="F232" s="19"/>
      <c r="G232" s="20"/>
      <c r="H232" s="24"/>
      <c r="I232" s="25"/>
    </row>
    <row r="233" ht="15.75" customHeight="1">
      <c r="B233" s="13"/>
      <c r="D233" s="16"/>
      <c r="E233" s="16"/>
      <c r="F233" s="19"/>
      <c r="G233" s="20"/>
      <c r="H233" s="24"/>
      <c r="I233" s="25"/>
    </row>
    <row r="234" ht="15.75" customHeight="1">
      <c r="B234" s="13"/>
      <c r="D234" s="16"/>
      <c r="E234" s="16"/>
      <c r="F234" s="19"/>
      <c r="G234" s="20"/>
      <c r="H234" s="24"/>
      <c r="I234" s="25"/>
    </row>
    <row r="235" ht="15.75" customHeight="1">
      <c r="B235" s="13"/>
      <c r="D235" s="16"/>
      <c r="E235" s="16"/>
      <c r="F235" s="19"/>
      <c r="G235" s="20"/>
      <c r="H235" s="24"/>
      <c r="I235" s="25"/>
    </row>
    <row r="236" ht="15.75" customHeight="1">
      <c r="B236" s="13"/>
      <c r="D236" s="16"/>
      <c r="E236" s="16"/>
      <c r="F236" s="19"/>
      <c r="G236" s="20"/>
      <c r="H236" s="24"/>
      <c r="I236" s="25"/>
    </row>
    <row r="237" ht="15.75" customHeight="1">
      <c r="B237" s="13"/>
      <c r="D237" s="16"/>
      <c r="E237" s="16"/>
      <c r="F237" s="19"/>
      <c r="G237" s="20"/>
      <c r="H237" s="24"/>
      <c r="I237" s="25"/>
    </row>
    <row r="238" ht="15.75" customHeight="1">
      <c r="B238" s="13"/>
      <c r="D238" s="16"/>
      <c r="E238" s="16"/>
      <c r="F238" s="19"/>
      <c r="G238" s="20"/>
      <c r="H238" s="24"/>
      <c r="I238" s="25"/>
    </row>
    <row r="239" ht="15.75" customHeight="1">
      <c r="B239" s="13"/>
      <c r="D239" s="16"/>
      <c r="E239" s="16"/>
      <c r="F239" s="19"/>
      <c r="G239" s="20"/>
      <c r="H239" s="24"/>
      <c r="I239" s="25"/>
    </row>
    <row r="240" ht="15.75" customHeight="1">
      <c r="B240" s="13"/>
      <c r="D240" s="16"/>
      <c r="E240" s="16"/>
      <c r="F240" s="19"/>
      <c r="G240" s="20"/>
      <c r="H240" s="24"/>
      <c r="I240" s="25"/>
    </row>
    <row r="241" ht="15.75" customHeight="1">
      <c r="B241" s="13"/>
      <c r="D241" s="16"/>
      <c r="E241" s="16"/>
      <c r="F241" s="19"/>
      <c r="G241" s="20"/>
      <c r="H241" s="24"/>
      <c r="I241" s="25"/>
    </row>
    <row r="242" ht="15.75" customHeight="1">
      <c r="B242" s="13"/>
      <c r="D242" s="16"/>
      <c r="E242" s="16"/>
      <c r="F242" s="19"/>
      <c r="G242" s="20"/>
      <c r="H242" s="24"/>
      <c r="I242" s="25"/>
    </row>
    <row r="243" ht="15.75" customHeight="1">
      <c r="B243" s="13"/>
      <c r="D243" s="16"/>
      <c r="E243" s="16"/>
      <c r="F243" s="19"/>
      <c r="G243" s="20"/>
      <c r="H243" s="24"/>
      <c r="I243" s="25"/>
    </row>
    <row r="244" ht="15.75" customHeight="1">
      <c r="B244" s="13"/>
      <c r="D244" s="16"/>
      <c r="E244" s="16"/>
      <c r="F244" s="19"/>
      <c r="G244" s="20"/>
      <c r="H244" s="24"/>
      <c r="I244" s="25"/>
    </row>
    <row r="245" ht="15.75" customHeight="1">
      <c r="B245" s="13"/>
      <c r="D245" s="16"/>
      <c r="E245" s="16"/>
      <c r="F245" s="19"/>
      <c r="G245" s="20"/>
      <c r="H245" s="24"/>
      <c r="I245" s="25"/>
    </row>
    <row r="246" ht="15.75" customHeight="1">
      <c r="B246" s="13"/>
      <c r="D246" s="16"/>
      <c r="E246" s="16"/>
      <c r="F246" s="19"/>
      <c r="G246" s="20"/>
      <c r="H246" s="24"/>
      <c r="I246" s="25"/>
    </row>
    <row r="247" ht="15.75" customHeight="1">
      <c r="B247" s="13"/>
      <c r="D247" s="16"/>
      <c r="E247" s="16"/>
      <c r="F247" s="19"/>
      <c r="G247" s="20"/>
      <c r="H247" s="24"/>
      <c r="I247" s="25"/>
    </row>
    <row r="248" ht="15.75" customHeight="1">
      <c r="B248" s="13"/>
      <c r="D248" s="16"/>
      <c r="E248" s="16"/>
      <c r="F248" s="19"/>
      <c r="G248" s="20"/>
      <c r="H248" s="24"/>
      <c r="I248" s="25"/>
    </row>
    <row r="249" ht="15.75" customHeight="1">
      <c r="B249" s="13"/>
      <c r="D249" s="16"/>
      <c r="E249" s="16"/>
      <c r="F249" s="19"/>
      <c r="G249" s="20"/>
      <c r="H249" s="24"/>
      <c r="I249" s="25"/>
    </row>
    <row r="250" ht="15.75" customHeight="1">
      <c r="B250" s="13"/>
      <c r="D250" s="16"/>
      <c r="E250" s="16"/>
      <c r="F250" s="19"/>
      <c r="G250" s="20"/>
      <c r="H250" s="24"/>
      <c r="I250" s="25"/>
    </row>
    <row r="251" ht="15.75" customHeight="1">
      <c r="B251" s="13"/>
      <c r="D251" s="16"/>
      <c r="E251" s="16"/>
      <c r="F251" s="19"/>
      <c r="G251" s="20"/>
      <c r="H251" s="24"/>
      <c r="I251" s="25"/>
    </row>
    <row r="252" ht="15.75" customHeight="1">
      <c r="B252" s="13"/>
      <c r="D252" s="16"/>
      <c r="E252" s="16"/>
      <c r="F252" s="19"/>
      <c r="G252" s="20"/>
      <c r="H252" s="24"/>
      <c r="I252" s="25"/>
    </row>
    <row r="253" ht="15.75" customHeight="1">
      <c r="B253" s="13"/>
      <c r="D253" s="16"/>
      <c r="E253" s="16"/>
      <c r="F253" s="19"/>
      <c r="G253" s="20"/>
      <c r="H253" s="24"/>
      <c r="I253" s="25"/>
    </row>
    <row r="254" ht="15.75" customHeight="1">
      <c r="B254" s="13"/>
      <c r="D254" s="16"/>
      <c r="E254" s="16"/>
      <c r="F254" s="19"/>
      <c r="G254" s="20"/>
      <c r="H254" s="24"/>
      <c r="I254" s="25"/>
    </row>
    <row r="255" ht="15.75" customHeight="1">
      <c r="B255" s="13"/>
      <c r="D255" s="16"/>
      <c r="E255" s="16"/>
      <c r="F255" s="19"/>
      <c r="G255" s="20"/>
      <c r="H255" s="24"/>
      <c r="I255" s="25"/>
    </row>
    <row r="256" ht="15.75" customHeight="1">
      <c r="B256" s="13"/>
      <c r="D256" s="16"/>
      <c r="E256" s="16"/>
      <c r="F256" s="19"/>
      <c r="G256" s="20"/>
      <c r="H256" s="24"/>
      <c r="I256" s="25"/>
    </row>
    <row r="257" ht="15.75" customHeight="1">
      <c r="B257" s="13"/>
      <c r="D257" s="16"/>
      <c r="E257" s="16"/>
      <c r="F257" s="19"/>
      <c r="G257" s="20"/>
      <c r="H257" s="24"/>
      <c r="I257" s="25"/>
    </row>
    <row r="258" ht="15.75" customHeight="1">
      <c r="B258" s="13"/>
      <c r="D258" s="16"/>
      <c r="E258" s="16"/>
      <c r="F258" s="19"/>
      <c r="G258" s="20"/>
      <c r="H258" s="24"/>
      <c r="I258" s="25"/>
    </row>
    <row r="259" ht="15.75" customHeight="1">
      <c r="B259" s="13"/>
      <c r="D259" s="16"/>
      <c r="E259" s="16"/>
      <c r="F259" s="19"/>
      <c r="G259" s="20"/>
      <c r="H259" s="24"/>
      <c r="I259" s="25"/>
    </row>
    <row r="260" ht="15.75" customHeight="1">
      <c r="B260" s="13"/>
      <c r="D260" s="16"/>
      <c r="E260" s="16"/>
      <c r="F260" s="19"/>
      <c r="G260" s="20"/>
      <c r="H260" s="24"/>
      <c r="I260" s="25"/>
    </row>
    <row r="261" ht="15.75" customHeight="1">
      <c r="B261" s="13"/>
      <c r="D261" s="16"/>
      <c r="E261" s="16"/>
      <c r="F261" s="19"/>
      <c r="G261" s="20"/>
      <c r="H261" s="24"/>
      <c r="I261" s="25"/>
    </row>
    <row r="262" ht="15.75" customHeight="1">
      <c r="B262" s="13"/>
      <c r="D262" s="16"/>
      <c r="E262" s="16"/>
      <c r="F262" s="19"/>
      <c r="G262" s="20"/>
      <c r="H262" s="24"/>
      <c r="I262" s="25"/>
    </row>
    <row r="263" ht="15.75" customHeight="1">
      <c r="B263" s="13"/>
      <c r="D263" s="16"/>
      <c r="E263" s="16"/>
      <c r="F263" s="19"/>
      <c r="G263" s="20"/>
      <c r="H263" s="24"/>
      <c r="I263" s="25"/>
    </row>
    <row r="264" ht="15.75" customHeight="1">
      <c r="B264" s="13"/>
      <c r="D264" s="16"/>
      <c r="E264" s="16"/>
      <c r="F264" s="19"/>
      <c r="G264" s="20"/>
      <c r="H264" s="24"/>
      <c r="I264" s="25"/>
    </row>
    <row r="265" ht="15.75" customHeight="1">
      <c r="B265" s="13"/>
      <c r="D265" s="16"/>
      <c r="E265" s="16"/>
      <c r="F265" s="19"/>
      <c r="G265" s="20"/>
      <c r="H265" s="24"/>
      <c r="I265" s="25"/>
    </row>
    <row r="266" ht="15.75" customHeight="1">
      <c r="B266" s="13"/>
      <c r="D266" s="16"/>
      <c r="E266" s="16"/>
      <c r="F266" s="19"/>
      <c r="G266" s="20"/>
      <c r="H266" s="24"/>
      <c r="I266" s="25"/>
    </row>
    <row r="267" ht="15.75" customHeight="1">
      <c r="B267" s="13"/>
      <c r="D267" s="16"/>
      <c r="E267" s="16"/>
      <c r="F267" s="19"/>
      <c r="G267" s="20"/>
      <c r="H267" s="24"/>
      <c r="I267" s="25"/>
    </row>
    <row r="268" ht="15.75" customHeight="1">
      <c r="B268" s="13"/>
      <c r="D268" s="16"/>
      <c r="E268" s="16"/>
      <c r="F268" s="19"/>
      <c r="G268" s="20"/>
      <c r="H268" s="24"/>
      <c r="I268" s="25"/>
    </row>
    <row r="269" ht="15.75" customHeight="1">
      <c r="B269" s="13"/>
      <c r="D269" s="16"/>
      <c r="E269" s="16"/>
      <c r="F269" s="19"/>
      <c r="G269" s="20"/>
      <c r="H269" s="24"/>
      <c r="I269" s="25"/>
    </row>
    <row r="270" ht="15.75" customHeight="1">
      <c r="B270" s="13"/>
      <c r="D270" s="16"/>
      <c r="E270" s="16"/>
      <c r="F270" s="19"/>
      <c r="G270" s="20"/>
      <c r="H270" s="24"/>
      <c r="I270" s="25"/>
    </row>
    <row r="271" ht="15.75" customHeight="1">
      <c r="B271" s="13"/>
      <c r="D271" s="16"/>
      <c r="E271" s="16"/>
      <c r="F271" s="19"/>
      <c r="G271" s="20"/>
      <c r="H271" s="24"/>
      <c r="I271" s="25"/>
    </row>
    <row r="272" ht="15.75" customHeight="1">
      <c r="B272" s="13"/>
      <c r="D272" s="16"/>
      <c r="E272" s="16"/>
      <c r="F272" s="19"/>
      <c r="G272" s="20"/>
      <c r="H272" s="24"/>
      <c r="I272" s="25"/>
    </row>
    <row r="273" ht="15.75" customHeight="1">
      <c r="B273" s="13"/>
      <c r="D273" s="16"/>
      <c r="E273" s="16"/>
      <c r="F273" s="19"/>
      <c r="G273" s="20"/>
      <c r="H273" s="24"/>
      <c r="I273" s="25"/>
    </row>
    <row r="274" ht="15.75" customHeight="1">
      <c r="B274" s="13"/>
      <c r="D274" s="16"/>
      <c r="E274" s="16"/>
      <c r="F274" s="19"/>
      <c r="G274" s="20"/>
      <c r="H274" s="24"/>
      <c r="I274" s="25"/>
    </row>
    <row r="275" ht="15.75" customHeight="1">
      <c r="B275" s="13"/>
      <c r="D275" s="16"/>
      <c r="E275" s="16"/>
      <c r="F275" s="19"/>
      <c r="G275" s="20"/>
      <c r="H275" s="24"/>
      <c r="I275" s="25"/>
    </row>
    <row r="276" ht="15.75" customHeight="1">
      <c r="B276" s="13"/>
      <c r="D276" s="16"/>
      <c r="E276" s="16"/>
      <c r="F276" s="19"/>
      <c r="G276" s="20"/>
      <c r="H276" s="24"/>
      <c r="I276" s="25"/>
    </row>
    <row r="277" ht="15.75" customHeight="1">
      <c r="B277" s="13"/>
      <c r="D277" s="16"/>
      <c r="E277" s="16"/>
      <c r="F277" s="19"/>
      <c r="G277" s="20"/>
      <c r="H277" s="24"/>
      <c r="I277" s="25"/>
    </row>
    <row r="278" ht="15.75" customHeight="1">
      <c r="B278" s="13"/>
      <c r="D278" s="16"/>
      <c r="E278" s="16"/>
      <c r="F278" s="19"/>
      <c r="G278" s="20"/>
      <c r="H278" s="24"/>
      <c r="I278" s="25"/>
    </row>
    <row r="279" ht="15.75" customHeight="1">
      <c r="B279" s="13"/>
      <c r="D279" s="16"/>
      <c r="E279" s="16"/>
      <c r="F279" s="19"/>
      <c r="G279" s="20"/>
      <c r="H279" s="24"/>
      <c r="I279" s="25"/>
    </row>
    <row r="280" ht="15.75" customHeight="1">
      <c r="B280" s="13"/>
      <c r="D280" s="16"/>
      <c r="E280" s="16"/>
      <c r="F280" s="19"/>
      <c r="G280" s="20"/>
      <c r="H280" s="24"/>
      <c r="I280" s="25"/>
    </row>
    <row r="281" ht="15.75" customHeight="1">
      <c r="B281" s="13"/>
      <c r="D281" s="16"/>
      <c r="E281" s="16"/>
      <c r="F281" s="19"/>
      <c r="G281" s="20"/>
      <c r="H281" s="24"/>
      <c r="I281" s="25"/>
    </row>
    <row r="282" ht="15.75" customHeight="1">
      <c r="B282" s="13"/>
      <c r="D282" s="16"/>
      <c r="E282" s="16"/>
      <c r="F282" s="19"/>
      <c r="G282" s="20"/>
      <c r="H282" s="24"/>
      <c r="I282" s="25"/>
    </row>
    <row r="283" ht="15.75" customHeight="1">
      <c r="B283" s="13"/>
      <c r="D283" s="16"/>
      <c r="E283" s="16"/>
      <c r="F283" s="19"/>
      <c r="G283" s="20"/>
      <c r="H283" s="24"/>
      <c r="I283" s="25"/>
    </row>
    <row r="284" ht="15.75" customHeight="1">
      <c r="B284" s="13"/>
      <c r="D284" s="16"/>
      <c r="E284" s="16"/>
      <c r="F284" s="19"/>
      <c r="G284" s="20"/>
      <c r="H284" s="24"/>
      <c r="I284" s="25"/>
    </row>
    <row r="285" ht="15.75" customHeight="1">
      <c r="B285" s="13"/>
      <c r="D285" s="16"/>
      <c r="E285" s="16"/>
      <c r="F285" s="19"/>
      <c r="G285" s="20"/>
      <c r="H285" s="24"/>
      <c r="I285" s="25"/>
    </row>
    <row r="286" ht="15.75" customHeight="1">
      <c r="B286" s="13"/>
      <c r="D286" s="16"/>
      <c r="E286" s="16"/>
      <c r="F286" s="19"/>
      <c r="G286" s="20"/>
      <c r="H286" s="24"/>
      <c r="I286" s="25"/>
    </row>
    <row r="287" ht="15.75" customHeight="1">
      <c r="B287" s="13"/>
      <c r="D287" s="16"/>
      <c r="E287" s="16"/>
      <c r="F287" s="19"/>
      <c r="G287" s="20"/>
      <c r="H287" s="24"/>
      <c r="I287" s="25"/>
    </row>
    <row r="288" ht="15.75" customHeight="1">
      <c r="B288" s="13"/>
      <c r="D288" s="16"/>
      <c r="E288" s="16"/>
      <c r="F288" s="19"/>
      <c r="G288" s="20"/>
      <c r="H288" s="24"/>
      <c r="I288" s="25"/>
    </row>
    <row r="289" ht="15.75" customHeight="1">
      <c r="B289" s="13"/>
      <c r="D289" s="16"/>
      <c r="E289" s="16"/>
      <c r="F289" s="19"/>
      <c r="G289" s="20"/>
      <c r="H289" s="24"/>
      <c r="I289" s="25"/>
    </row>
    <row r="290" ht="15.75" customHeight="1">
      <c r="B290" s="13"/>
      <c r="D290" s="16"/>
      <c r="E290" s="16"/>
      <c r="F290" s="19"/>
      <c r="G290" s="20"/>
      <c r="H290" s="24"/>
      <c r="I290" s="25"/>
    </row>
    <row r="291" ht="15.75" customHeight="1">
      <c r="B291" s="13"/>
      <c r="D291" s="16"/>
      <c r="E291" s="16"/>
      <c r="F291" s="19"/>
      <c r="G291" s="20"/>
      <c r="H291" s="24"/>
      <c r="I291" s="25"/>
    </row>
    <row r="292" ht="15.75" customHeight="1">
      <c r="B292" s="13"/>
      <c r="D292" s="16"/>
      <c r="E292" s="16"/>
      <c r="F292" s="19"/>
      <c r="G292" s="20"/>
      <c r="H292" s="24"/>
      <c r="I292" s="25"/>
    </row>
    <row r="293" ht="15.75" customHeight="1">
      <c r="B293" s="13"/>
      <c r="D293" s="16"/>
      <c r="E293" s="16"/>
      <c r="F293" s="19"/>
      <c r="G293" s="20"/>
      <c r="H293" s="24"/>
      <c r="I293" s="25"/>
    </row>
    <row r="294" ht="15.75" customHeight="1">
      <c r="B294" s="13"/>
      <c r="D294" s="16"/>
      <c r="E294" s="16"/>
      <c r="F294" s="19"/>
      <c r="G294" s="20"/>
      <c r="H294" s="24"/>
      <c r="I294" s="25"/>
    </row>
    <row r="295" ht="15.75" customHeight="1">
      <c r="B295" s="13"/>
      <c r="D295" s="16"/>
      <c r="E295" s="16"/>
      <c r="F295" s="19"/>
      <c r="G295" s="20"/>
      <c r="H295" s="24"/>
      <c r="I295" s="25"/>
    </row>
    <row r="296" ht="15.75" customHeight="1">
      <c r="B296" s="13"/>
      <c r="D296" s="16"/>
      <c r="E296" s="16"/>
      <c r="F296" s="19"/>
      <c r="G296" s="20"/>
      <c r="H296" s="24"/>
      <c r="I296" s="25"/>
    </row>
    <row r="297" ht="15.75" customHeight="1">
      <c r="B297" s="13"/>
      <c r="D297" s="16"/>
      <c r="E297" s="16"/>
      <c r="F297" s="19"/>
      <c r="G297" s="20"/>
      <c r="H297" s="24"/>
      <c r="I297" s="25"/>
    </row>
    <row r="298" ht="15.75" customHeight="1">
      <c r="B298" s="13"/>
      <c r="D298" s="16"/>
      <c r="E298" s="16"/>
      <c r="F298" s="19"/>
      <c r="G298" s="20"/>
      <c r="H298" s="24"/>
      <c r="I298" s="25"/>
    </row>
    <row r="299" ht="15.75" customHeight="1">
      <c r="B299" s="13"/>
      <c r="D299" s="16"/>
      <c r="E299" s="16"/>
      <c r="F299" s="19"/>
      <c r="G299" s="20"/>
      <c r="H299" s="24"/>
      <c r="I299" s="25"/>
    </row>
    <row r="300" ht="15.75" customHeight="1">
      <c r="B300" s="13"/>
      <c r="D300" s="16"/>
      <c r="E300" s="16"/>
      <c r="F300" s="19"/>
      <c r="G300" s="20"/>
      <c r="H300" s="24"/>
      <c r="I300" s="25"/>
    </row>
    <row r="301" ht="15.75" customHeight="1">
      <c r="B301" s="13"/>
      <c r="D301" s="16"/>
      <c r="E301" s="16"/>
      <c r="F301" s="19"/>
      <c r="G301" s="20"/>
      <c r="H301" s="24"/>
      <c r="I301" s="25"/>
    </row>
    <row r="302" ht="15.75" customHeight="1">
      <c r="B302" s="13"/>
      <c r="D302" s="16"/>
      <c r="E302" s="16"/>
      <c r="F302" s="19"/>
      <c r="G302" s="20"/>
      <c r="H302" s="24"/>
      <c r="I302" s="25"/>
    </row>
    <row r="303" ht="15.75" customHeight="1">
      <c r="B303" s="13"/>
      <c r="D303" s="16"/>
      <c r="E303" s="16"/>
      <c r="F303" s="19"/>
      <c r="G303" s="20"/>
      <c r="H303" s="24"/>
      <c r="I303" s="25"/>
    </row>
    <row r="304" ht="15.75" customHeight="1">
      <c r="B304" s="13"/>
      <c r="D304" s="16"/>
      <c r="E304" s="16"/>
      <c r="F304" s="19"/>
      <c r="G304" s="20"/>
      <c r="H304" s="24"/>
      <c r="I304" s="25"/>
    </row>
    <row r="305" ht="15.75" customHeight="1">
      <c r="B305" s="13"/>
      <c r="D305" s="16"/>
      <c r="E305" s="16"/>
      <c r="F305" s="19"/>
      <c r="G305" s="20"/>
      <c r="H305" s="24"/>
      <c r="I305" s="25"/>
    </row>
    <row r="306" ht="15.75" customHeight="1">
      <c r="B306" s="13"/>
      <c r="D306" s="16"/>
      <c r="E306" s="16"/>
      <c r="F306" s="19"/>
      <c r="G306" s="20"/>
      <c r="H306" s="24"/>
      <c r="I306" s="25"/>
    </row>
    <row r="307" ht="15.75" customHeight="1">
      <c r="B307" s="13"/>
      <c r="D307" s="16"/>
      <c r="E307" s="16"/>
      <c r="F307" s="19"/>
      <c r="G307" s="20"/>
      <c r="H307" s="24"/>
      <c r="I307" s="25"/>
    </row>
    <row r="308" ht="15.75" customHeight="1">
      <c r="B308" s="13"/>
      <c r="D308" s="16"/>
      <c r="E308" s="16"/>
      <c r="F308" s="19"/>
      <c r="G308" s="20"/>
      <c r="H308" s="24"/>
      <c r="I308" s="25"/>
    </row>
    <row r="309" ht="15.75" customHeight="1">
      <c r="B309" s="13"/>
      <c r="D309" s="16"/>
      <c r="E309" s="16"/>
      <c r="F309" s="19"/>
      <c r="G309" s="20"/>
      <c r="H309" s="24"/>
      <c r="I309" s="25"/>
    </row>
    <row r="310" ht="15.75" customHeight="1">
      <c r="B310" s="13"/>
      <c r="D310" s="16"/>
      <c r="E310" s="16"/>
      <c r="F310" s="19"/>
      <c r="G310" s="20"/>
      <c r="H310" s="24"/>
      <c r="I310" s="25"/>
    </row>
    <row r="311" ht="15.75" customHeight="1">
      <c r="B311" s="13"/>
      <c r="D311" s="16"/>
      <c r="E311" s="16"/>
      <c r="F311" s="19"/>
      <c r="G311" s="20"/>
      <c r="H311" s="24"/>
      <c r="I311" s="25"/>
    </row>
    <row r="312" ht="15.75" customHeight="1">
      <c r="B312" s="13"/>
      <c r="D312" s="16"/>
      <c r="E312" s="16"/>
      <c r="F312" s="19"/>
      <c r="G312" s="20"/>
      <c r="H312" s="24"/>
      <c r="I312" s="25"/>
    </row>
    <row r="313" ht="15.75" customHeight="1">
      <c r="B313" s="13"/>
      <c r="D313" s="16"/>
      <c r="E313" s="16"/>
      <c r="F313" s="19"/>
      <c r="G313" s="20"/>
      <c r="H313" s="24"/>
      <c r="I313" s="25"/>
    </row>
    <row r="314" ht="15.75" customHeight="1">
      <c r="B314" s="13"/>
      <c r="D314" s="16"/>
      <c r="E314" s="16"/>
      <c r="F314" s="19"/>
      <c r="G314" s="20"/>
      <c r="H314" s="24"/>
      <c r="I314" s="25"/>
    </row>
    <row r="315" ht="15.75" customHeight="1">
      <c r="B315" s="13"/>
      <c r="D315" s="16"/>
      <c r="E315" s="16"/>
      <c r="F315" s="19"/>
      <c r="G315" s="20"/>
      <c r="H315" s="24"/>
      <c r="I315" s="25"/>
    </row>
    <row r="316" ht="15.75" customHeight="1">
      <c r="B316" s="13"/>
      <c r="D316" s="16"/>
      <c r="E316" s="16"/>
      <c r="F316" s="19"/>
      <c r="G316" s="20"/>
      <c r="H316" s="24"/>
      <c r="I316" s="25"/>
    </row>
    <row r="317" ht="15.75" customHeight="1">
      <c r="B317" s="13"/>
      <c r="D317" s="16"/>
      <c r="E317" s="16"/>
      <c r="F317" s="19"/>
      <c r="G317" s="20"/>
      <c r="H317" s="24"/>
      <c r="I317" s="25"/>
    </row>
    <row r="318" ht="15.75" customHeight="1">
      <c r="B318" s="13"/>
      <c r="D318" s="16"/>
      <c r="E318" s="16"/>
      <c r="F318" s="19"/>
      <c r="G318" s="20"/>
      <c r="H318" s="24"/>
      <c r="I318" s="25"/>
    </row>
    <row r="319" ht="15.75" customHeight="1">
      <c r="B319" s="13"/>
      <c r="D319" s="16"/>
      <c r="E319" s="16"/>
      <c r="F319" s="19"/>
      <c r="G319" s="20"/>
      <c r="H319" s="24"/>
      <c r="I319" s="25"/>
    </row>
    <row r="320" ht="15.75" customHeight="1">
      <c r="B320" s="13"/>
      <c r="D320" s="16"/>
      <c r="E320" s="16"/>
      <c r="F320" s="19"/>
      <c r="G320" s="20"/>
      <c r="H320" s="24"/>
      <c r="I320" s="25"/>
    </row>
    <row r="321" ht="15.75" customHeight="1">
      <c r="B321" s="13"/>
      <c r="D321" s="16"/>
      <c r="E321" s="16"/>
      <c r="F321" s="19"/>
      <c r="G321" s="20"/>
      <c r="H321" s="24"/>
      <c r="I321" s="25"/>
    </row>
    <row r="322" ht="15.75" customHeight="1">
      <c r="B322" s="13"/>
      <c r="D322" s="16"/>
      <c r="E322" s="16"/>
      <c r="F322" s="19"/>
      <c r="G322" s="20"/>
      <c r="H322" s="24"/>
      <c r="I322" s="25"/>
    </row>
    <row r="323" ht="15.75" customHeight="1">
      <c r="B323" s="13"/>
      <c r="D323" s="16"/>
      <c r="E323" s="16"/>
      <c r="F323" s="19"/>
      <c r="G323" s="20"/>
      <c r="H323" s="24"/>
      <c r="I323" s="25"/>
    </row>
    <row r="324" ht="15.75" customHeight="1">
      <c r="B324" s="13"/>
      <c r="D324" s="16"/>
      <c r="E324" s="16"/>
      <c r="F324" s="19"/>
      <c r="G324" s="20"/>
      <c r="H324" s="24"/>
      <c r="I324" s="25"/>
    </row>
    <row r="325" ht="15.75" customHeight="1">
      <c r="B325" s="13"/>
      <c r="D325" s="16"/>
      <c r="E325" s="16"/>
      <c r="F325" s="19"/>
      <c r="G325" s="20"/>
      <c r="H325" s="24"/>
      <c r="I325" s="25"/>
    </row>
    <row r="326" ht="15.75" customHeight="1">
      <c r="B326" s="13"/>
      <c r="D326" s="16"/>
      <c r="E326" s="16"/>
      <c r="F326" s="19"/>
      <c r="G326" s="20"/>
      <c r="H326" s="24"/>
      <c r="I326" s="25"/>
    </row>
    <row r="327" ht="15.75" customHeight="1">
      <c r="B327" s="13"/>
      <c r="D327" s="16"/>
      <c r="E327" s="16"/>
      <c r="F327" s="19"/>
      <c r="G327" s="20"/>
      <c r="H327" s="24"/>
      <c r="I327" s="25"/>
    </row>
    <row r="328" ht="15.75" customHeight="1">
      <c r="B328" s="13"/>
      <c r="D328" s="16"/>
      <c r="E328" s="16"/>
      <c r="F328" s="19"/>
      <c r="G328" s="20"/>
      <c r="H328" s="24"/>
      <c r="I328" s="25"/>
    </row>
    <row r="329" ht="15.75" customHeight="1">
      <c r="B329" s="13"/>
      <c r="D329" s="16"/>
      <c r="E329" s="16"/>
      <c r="F329" s="19"/>
      <c r="G329" s="20"/>
      <c r="H329" s="24"/>
      <c r="I329" s="25"/>
    </row>
    <row r="330" ht="15.75" customHeight="1">
      <c r="B330" s="13"/>
      <c r="D330" s="16"/>
      <c r="E330" s="16"/>
      <c r="F330" s="19"/>
      <c r="G330" s="20"/>
      <c r="H330" s="24"/>
      <c r="I330" s="25"/>
    </row>
    <row r="331" ht="15.75" customHeight="1">
      <c r="B331" s="13"/>
      <c r="D331" s="16"/>
      <c r="E331" s="16"/>
      <c r="F331" s="19"/>
      <c r="G331" s="20"/>
      <c r="H331" s="24"/>
      <c r="I331" s="25"/>
    </row>
    <row r="332" ht="15.75" customHeight="1">
      <c r="B332" s="13"/>
      <c r="D332" s="16"/>
      <c r="E332" s="16"/>
      <c r="F332" s="19"/>
      <c r="G332" s="20"/>
      <c r="H332" s="24"/>
      <c r="I332" s="25"/>
    </row>
    <row r="333" ht="15.75" customHeight="1">
      <c r="B333" s="13"/>
      <c r="D333" s="16"/>
      <c r="E333" s="16"/>
      <c r="F333" s="19"/>
      <c r="G333" s="20"/>
      <c r="H333" s="24"/>
      <c r="I333" s="25"/>
    </row>
    <row r="334" ht="15.75" customHeight="1">
      <c r="B334" s="13"/>
      <c r="D334" s="16"/>
      <c r="E334" s="16"/>
      <c r="F334" s="19"/>
      <c r="G334" s="20"/>
      <c r="H334" s="24"/>
      <c r="I334" s="25"/>
    </row>
    <row r="335" ht="15.75" customHeight="1">
      <c r="B335" s="13"/>
      <c r="D335" s="16"/>
      <c r="E335" s="16"/>
      <c r="F335" s="19"/>
      <c r="G335" s="20"/>
      <c r="H335" s="24"/>
      <c r="I335" s="25"/>
    </row>
    <row r="336" ht="15.75" customHeight="1">
      <c r="B336" s="13"/>
      <c r="D336" s="16"/>
      <c r="E336" s="16"/>
      <c r="F336" s="19"/>
      <c r="G336" s="20"/>
      <c r="H336" s="24"/>
      <c r="I336" s="25"/>
    </row>
    <row r="337" ht="15.75" customHeight="1">
      <c r="B337" s="13"/>
      <c r="D337" s="16"/>
      <c r="E337" s="16"/>
      <c r="F337" s="19"/>
      <c r="G337" s="20"/>
      <c r="H337" s="24"/>
      <c r="I337" s="25"/>
    </row>
    <row r="338" ht="15.75" customHeight="1">
      <c r="B338" s="13"/>
      <c r="D338" s="16"/>
      <c r="E338" s="16"/>
      <c r="F338" s="19"/>
      <c r="G338" s="20"/>
      <c r="H338" s="24"/>
      <c r="I338" s="25"/>
    </row>
    <row r="339" ht="15.75" customHeight="1">
      <c r="B339" s="13"/>
      <c r="D339" s="16"/>
      <c r="E339" s="16"/>
      <c r="F339" s="19"/>
      <c r="G339" s="20"/>
      <c r="H339" s="24"/>
      <c r="I339" s="25"/>
    </row>
    <row r="340" ht="15.75" customHeight="1">
      <c r="B340" s="13"/>
      <c r="D340" s="16"/>
      <c r="E340" s="16"/>
      <c r="F340" s="19"/>
      <c r="G340" s="20"/>
      <c r="H340" s="24"/>
      <c r="I340" s="25"/>
    </row>
    <row r="341" ht="15.75" customHeight="1">
      <c r="B341" s="13"/>
      <c r="D341" s="16"/>
      <c r="E341" s="16"/>
      <c r="F341" s="19"/>
      <c r="G341" s="20"/>
      <c r="H341" s="24"/>
      <c r="I341" s="25"/>
    </row>
    <row r="342" ht="15.75" customHeight="1">
      <c r="B342" s="13"/>
      <c r="D342" s="16"/>
      <c r="E342" s="16"/>
      <c r="F342" s="19"/>
      <c r="G342" s="20"/>
      <c r="H342" s="24"/>
      <c r="I342" s="25"/>
    </row>
    <row r="343" ht="15.75" customHeight="1">
      <c r="B343" s="13"/>
      <c r="D343" s="16"/>
      <c r="E343" s="16"/>
      <c r="F343" s="19"/>
      <c r="G343" s="20"/>
      <c r="H343" s="24"/>
      <c r="I343" s="25"/>
    </row>
    <row r="344" ht="15.75" customHeight="1">
      <c r="B344" s="13"/>
      <c r="D344" s="16"/>
      <c r="E344" s="16"/>
      <c r="F344" s="19"/>
      <c r="G344" s="20"/>
      <c r="H344" s="24"/>
      <c r="I344" s="25"/>
    </row>
    <row r="345" ht="15.75" customHeight="1">
      <c r="B345" s="13"/>
      <c r="D345" s="16"/>
      <c r="E345" s="16"/>
      <c r="F345" s="19"/>
      <c r="G345" s="20"/>
      <c r="H345" s="24"/>
      <c r="I345" s="25"/>
    </row>
    <row r="346" ht="15.75" customHeight="1">
      <c r="B346" s="13"/>
      <c r="D346" s="16"/>
      <c r="E346" s="16"/>
      <c r="F346" s="19"/>
      <c r="G346" s="20"/>
      <c r="H346" s="24"/>
      <c r="I346" s="25"/>
    </row>
    <row r="347" ht="15.75" customHeight="1">
      <c r="B347" s="13"/>
      <c r="D347" s="16"/>
      <c r="E347" s="16"/>
      <c r="F347" s="19"/>
      <c r="G347" s="20"/>
      <c r="H347" s="24"/>
      <c r="I347" s="25"/>
    </row>
    <row r="348" ht="15.75" customHeight="1">
      <c r="B348" s="13"/>
      <c r="D348" s="16"/>
      <c r="E348" s="16"/>
      <c r="F348" s="19"/>
      <c r="G348" s="20"/>
      <c r="H348" s="24"/>
      <c r="I348" s="25"/>
    </row>
    <row r="349" ht="15.75" customHeight="1">
      <c r="B349" s="13"/>
      <c r="D349" s="16"/>
      <c r="E349" s="16"/>
      <c r="F349" s="19"/>
      <c r="G349" s="20"/>
      <c r="H349" s="24"/>
      <c r="I349" s="25"/>
    </row>
    <row r="350" ht="15.75" customHeight="1">
      <c r="B350" s="13"/>
      <c r="D350" s="16"/>
      <c r="E350" s="16"/>
      <c r="F350" s="19"/>
      <c r="G350" s="20"/>
      <c r="H350" s="24"/>
      <c r="I350" s="25"/>
    </row>
    <row r="351" ht="15.75" customHeight="1">
      <c r="B351" s="13"/>
      <c r="D351" s="16"/>
      <c r="E351" s="16"/>
      <c r="F351" s="19"/>
      <c r="G351" s="20"/>
      <c r="H351" s="24"/>
      <c r="I351" s="25"/>
    </row>
    <row r="352" ht="15.75" customHeight="1">
      <c r="B352" s="13"/>
      <c r="D352" s="16"/>
      <c r="E352" s="16"/>
      <c r="F352" s="19"/>
      <c r="G352" s="20"/>
      <c r="H352" s="24"/>
      <c r="I352" s="25"/>
    </row>
    <row r="353" ht="15.75" customHeight="1">
      <c r="B353" s="13"/>
      <c r="D353" s="16"/>
      <c r="E353" s="16"/>
      <c r="F353" s="19"/>
      <c r="G353" s="20"/>
      <c r="H353" s="24"/>
      <c r="I353" s="25"/>
    </row>
    <row r="354" ht="15.75" customHeight="1">
      <c r="B354" s="13"/>
      <c r="D354" s="16"/>
      <c r="E354" s="16"/>
      <c r="F354" s="19"/>
      <c r="G354" s="20"/>
      <c r="H354" s="24"/>
      <c r="I354" s="25"/>
    </row>
    <row r="355" ht="15.75" customHeight="1">
      <c r="B355" s="13"/>
      <c r="D355" s="16"/>
      <c r="E355" s="16"/>
      <c r="F355" s="19"/>
      <c r="G355" s="20"/>
      <c r="H355" s="24"/>
      <c r="I355" s="25"/>
    </row>
    <row r="356" ht="15.75" customHeight="1">
      <c r="B356" s="13"/>
      <c r="D356" s="16"/>
      <c r="E356" s="16"/>
      <c r="F356" s="19"/>
      <c r="G356" s="20"/>
      <c r="H356" s="24"/>
      <c r="I356" s="25"/>
    </row>
    <row r="357" ht="15.75" customHeight="1">
      <c r="B357" s="13"/>
      <c r="D357" s="16"/>
      <c r="E357" s="16"/>
      <c r="F357" s="19"/>
      <c r="G357" s="20"/>
      <c r="H357" s="24"/>
      <c r="I357" s="25"/>
    </row>
    <row r="358" ht="15.75" customHeight="1">
      <c r="B358" s="13"/>
      <c r="D358" s="16"/>
      <c r="E358" s="16"/>
      <c r="F358" s="19"/>
      <c r="G358" s="20"/>
      <c r="H358" s="24"/>
      <c r="I358" s="25"/>
    </row>
    <row r="359" ht="15.75" customHeight="1">
      <c r="B359" s="13"/>
      <c r="D359" s="16"/>
      <c r="E359" s="16"/>
      <c r="F359" s="19"/>
      <c r="G359" s="20"/>
      <c r="H359" s="24"/>
      <c r="I359" s="25"/>
    </row>
    <row r="360" ht="15.75" customHeight="1">
      <c r="B360" s="13"/>
      <c r="D360" s="16"/>
      <c r="E360" s="16"/>
      <c r="F360" s="19"/>
      <c r="G360" s="20"/>
      <c r="H360" s="24"/>
      <c r="I360" s="25"/>
    </row>
    <row r="361" ht="15.75" customHeight="1">
      <c r="B361" s="13"/>
      <c r="D361" s="16"/>
      <c r="E361" s="16"/>
      <c r="F361" s="19"/>
      <c r="G361" s="20"/>
      <c r="H361" s="24"/>
      <c r="I361" s="25"/>
    </row>
    <row r="362" ht="15.75" customHeight="1">
      <c r="B362" s="13"/>
      <c r="D362" s="16"/>
      <c r="E362" s="16"/>
      <c r="F362" s="19"/>
      <c r="G362" s="20"/>
      <c r="H362" s="24"/>
      <c r="I362" s="25"/>
    </row>
    <row r="363" ht="15.75" customHeight="1">
      <c r="B363" s="13"/>
      <c r="D363" s="16"/>
      <c r="E363" s="16"/>
      <c r="F363" s="19"/>
      <c r="G363" s="20"/>
      <c r="H363" s="24"/>
      <c r="I363" s="25"/>
    </row>
    <row r="364" ht="15.75" customHeight="1">
      <c r="B364" s="13"/>
      <c r="D364" s="16"/>
      <c r="E364" s="16"/>
      <c r="F364" s="19"/>
      <c r="G364" s="20"/>
      <c r="H364" s="24"/>
      <c r="I364" s="25"/>
    </row>
    <row r="365" ht="15.75" customHeight="1">
      <c r="B365" s="13"/>
      <c r="D365" s="16"/>
      <c r="E365" s="16"/>
      <c r="F365" s="19"/>
      <c r="G365" s="20"/>
      <c r="H365" s="24"/>
      <c r="I365" s="25"/>
    </row>
    <row r="366" ht="15.75" customHeight="1">
      <c r="B366" s="13"/>
      <c r="D366" s="16"/>
      <c r="E366" s="16"/>
      <c r="F366" s="19"/>
      <c r="G366" s="20"/>
      <c r="H366" s="24"/>
      <c r="I366" s="25"/>
    </row>
    <row r="367" ht="15.75" customHeight="1">
      <c r="B367" s="13"/>
      <c r="D367" s="16"/>
      <c r="E367" s="16"/>
      <c r="F367" s="19"/>
      <c r="G367" s="20"/>
      <c r="H367" s="24"/>
      <c r="I367" s="25"/>
    </row>
    <row r="368" ht="15.75" customHeight="1">
      <c r="B368" s="13"/>
      <c r="D368" s="16"/>
      <c r="E368" s="16"/>
      <c r="F368" s="19"/>
      <c r="G368" s="20"/>
      <c r="H368" s="24"/>
      <c r="I368" s="25"/>
    </row>
    <row r="369" ht="15.75" customHeight="1">
      <c r="B369" s="13"/>
      <c r="D369" s="16"/>
      <c r="E369" s="16"/>
      <c r="F369" s="19"/>
      <c r="G369" s="20"/>
      <c r="H369" s="24"/>
      <c r="I369" s="25"/>
    </row>
    <row r="370" ht="15.75" customHeight="1">
      <c r="B370" s="13"/>
      <c r="D370" s="16"/>
      <c r="E370" s="16"/>
      <c r="F370" s="19"/>
      <c r="G370" s="20"/>
      <c r="H370" s="24"/>
      <c r="I370" s="25"/>
    </row>
    <row r="371" ht="15.75" customHeight="1">
      <c r="B371" s="13"/>
      <c r="D371" s="16"/>
      <c r="E371" s="16"/>
      <c r="F371" s="19"/>
      <c r="G371" s="20"/>
      <c r="H371" s="24"/>
      <c r="I371" s="25"/>
    </row>
    <row r="372" ht="15.75" customHeight="1">
      <c r="B372" s="13"/>
      <c r="D372" s="16"/>
      <c r="E372" s="16"/>
      <c r="F372" s="19"/>
      <c r="G372" s="20"/>
      <c r="H372" s="24"/>
      <c r="I372" s="25"/>
    </row>
    <row r="373" ht="15.75" customHeight="1">
      <c r="B373" s="13"/>
      <c r="D373" s="16"/>
      <c r="E373" s="16"/>
      <c r="F373" s="19"/>
      <c r="G373" s="20"/>
      <c r="H373" s="24"/>
      <c r="I373" s="25"/>
    </row>
    <row r="374" ht="15.75" customHeight="1">
      <c r="B374" s="13"/>
      <c r="D374" s="16"/>
      <c r="E374" s="16"/>
      <c r="F374" s="19"/>
      <c r="G374" s="20"/>
      <c r="H374" s="24"/>
      <c r="I374" s="25"/>
    </row>
    <row r="375" ht="15.75" customHeight="1">
      <c r="B375" s="13"/>
      <c r="D375" s="16"/>
      <c r="E375" s="16"/>
      <c r="F375" s="19"/>
      <c r="G375" s="20"/>
      <c r="H375" s="24"/>
      <c r="I375" s="25"/>
    </row>
    <row r="376" ht="15.75" customHeight="1">
      <c r="B376" s="13"/>
      <c r="D376" s="16"/>
      <c r="E376" s="16"/>
      <c r="F376" s="19"/>
      <c r="G376" s="20"/>
      <c r="H376" s="24"/>
      <c r="I376" s="25"/>
    </row>
    <row r="377" ht="15.75" customHeight="1">
      <c r="B377" s="13"/>
      <c r="D377" s="16"/>
      <c r="E377" s="16"/>
      <c r="F377" s="19"/>
      <c r="G377" s="20"/>
      <c r="H377" s="24"/>
      <c r="I377" s="25"/>
    </row>
    <row r="378" ht="15.75" customHeight="1">
      <c r="B378" s="13"/>
      <c r="D378" s="16"/>
      <c r="E378" s="16"/>
      <c r="F378" s="19"/>
      <c r="G378" s="20"/>
      <c r="H378" s="24"/>
      <c r="I378" s="25"/>
    </row>
    <row r="379" ht="15.75" customHeight="1">
      <c r="B379" s="13"/>
      <c r="D379" s="16"/>
      <c r="E379" s="16"/>
      <c r="F379" s="19"/>
      <c r="G379" s="20"/>
      <c r="H379" s="24"/>
      <c r="I379" s="25"/>
    </row>
    <row r="380" ht="15.75" customHeight="1">
      <c r="B380" s="13"/>
      <c r="D380" s="16"/>
      <c r="E380" s="16"/>
      <c r="F380" s="19"/>
      <c r="G380" s="20"/>
      <c r="H380" s="24"/>
      <c r="I380" s="25"/>
    </row>
    <row r="381" ht="15.75" customHeight="1">
      <c r="B381" s="13"/>
      <c r="D381" s="16"/>
      <c r="E381" s="16"/>
      <c r="F381" s="19"/>
      <c r="G381" s="20"/>
      <c r="H381" s="24"/>
      <c r="I381" s="25"/>
    </row>
    <row r="382" ht="15.75" customHeight="1">
      <c r="B382" s="13"/>
      <c r="D382" s="16"/>
      <c r="E382" s="16"/>
      <c r="F382" s="19"/>
      <c r="G382" s="20"/>
      <c r="H382" s="24"/>
      <c r="I382" s="25"/>
    </row>
    <row r="383" ht="15.75" customHeight="1">
      <c r="B383" s="13"/>
      <c r="D383" s="16"/>
      <c r="E383" s="16"/>
      <c r="F383" s="19"/>
      <c r="G383" s="20"/>
      <c r="H383" s="24"/>
      <c r="I383" s="25"/>
    </row>
    <row r="384" ht="15.75" customHeight="1">
      <c r="B384" s="13"/>
      <c r="D384" s="16"/>
      <c r="E384" s="16"/>
      <c r="F384" s="19"/>
      <c r="G384" s="20"/>
      <c r="H384" s="24"/>
      <c r="I384" s="25"/>
    </row>
    <row r="385" ht="15.75" customHeight="1">
      <c r="B385" s="13"/>
      <c r="D385" s="16"/>
      <c r="E385" s="16"/>
      <c r="F385" s="19"/>
      <c r="G385" s="20"/>
      <c r="H385" s="24"/>
      <c r="I385" s="25"/>
    </row>
    <row r="386" ht="15.75" customHeight="1">
      <c r="B386" s="13"/>
      <c r="D386" s="16"/>
      <c r="E386" s="16"/>
      <c r="F386" s="19"/>
      <c r="G386" s="20"/>
      <c r="H386" s="24"/>
      <c r="I386" s="25"/>
    </row>
    <row r="387" ht="15.75" customHeight="1">
      <c r="B387" s="13"/>
      <c r="D387" s="16"/>
      <c r="E387" s="16"/>
      <c r="F387" s="19"/>
      <c r="G387" s="20"/>
      <c r="H387" s="24"/>
      <c r="I387" s="25"/>
    </row>
    <row r="388" ht="15.75" customHeight="1">
      <c r="B388" s="13"/>
      <c r="D388" s="16"/>
      <c r="E388" s="16"/>
      <c r="F388" s="19"/>
      <c r="G388" s="20"/>
      <c r="H388" s="24"/>
      <c r="I388" s="25"/>
    </row>
    <row r="389" ht="15.75" customHeight="1">
      <c r="B389" s="13"/>
      <c r="D389" s="16"/>
      <c r="E389" s="16"/>
      <c r="F389" s="19"/>
      <c r="G389" s="20"/>
      <c r="H389" s="24"/>
      <c r="I389" s="25"/>
    </row>
    <row r="390" ht="15.75" customHeight="1">
      <c r="B390" s="13"/>
      <c r="D390" s="16"/>
      <c r="E390" s="16"/>
      <c r="F390" s="19"/>
      <c r="G390" s="20"/>
      <c r="H390" s="24"/>
      <c r="I390" s="25"/>
    </row>
    <row r="391" ht="15.75" customHeight="1">
      <c r="B391" s="13"/>
      <c r="D391" s="16"/>
      <c r="E391" s="16"/>
      <c r="F391" s="19"/>
      <c r="G391" s="20"/>
      <c r="H391" s="24"/>
      <c r="I391" s="25"/>
    </row>
    <row r="392" ht="15.75" customHeight="1">
      <c r="B392" s="13"/>
      <c r="D392" s="16"/>
      <c r="E392" s="16"/>
      <c r="F392" s="19"/>
      <c r="G392" s="20"/>
      <c r="H392" s="24"/>
      <c r="I392" s="25"/>
    </row>
    <row r="393" ht="15.75" customHeight="1">
      <c r="B393" s="13"/>
      <c r="D393" s="16"/>
      <c r="E393" s="16"/>
      <c r="F393" s="19"/>
      <c r="G393" s="20"/>
      <c r="H393" s="24"/>
      <c r="I393" s="25"/>
    </row>
    <row r="394" ht="15.75" customHeight="1">
      <c r="B394" s="13"/>
      <c r="D394" s="16"/>
      <c r="E394" s="16"/>
      <c r="F394" s="19"/>
      <c r="G394" s="20"/>
      <c r="H394" s="24"/>
      <c r="I394" s="25"/>
    </row>
    <row r="395" ht="15.75" customHeight="1">
      <c r="B395" s="13"/>
      <c r="D395" s="16"/>
      <c r="E395" s="16"/>
      <c r="F395" s="19"/>
      <c r="G395" s="20"/>
      <c r="H395" s="24"/>
      <c r="I395" s="25"/>
    </row>
    <row r="396" ht="15.75" customHeight="1">
      <c r="B396" s="13"/>
      <c r="D396" s="16"/>
      <c r="E396" s="16"/>
      <c r="F396" s="19"/>
      <c r="G396" s="20"/>
      <c r="H396" s="24"/>
      <c r="I396" s="25"/>
    </row>
    <row r="397" ht="15.75" customHeight="1">
      <c r="B397" s="13"/>
      <c r="D397" s="16"/>
      <c r="E397" s="16"/>
      <c r="F397" s="19"/>
      <c r="G397" s="20"/>
      <c r="H397" s="24"/>
      <c r="I397" s="25"/>
    </row>
    <row r="398" ht="15.75" customHeight="1">
      <c r="B398" s="13"/>
      <c r="D398" s="16"/>
      <c r="E398" s="16"/>
      <c r="F398" s="19"/>
      <c r="G398" s="20"/>
      <c r="H398" s="24"/>
      <c r="I398" s="25"/>
    </row>
    <row r="399" ht="15.75" customHeight="1">
      <c r="B399" s="13"/>
      <c r="D399" s="16"/>
      <c r="E399" s="16"/>
      <c r="F399" s="19"/>
      <c r="G399" s="20"/>
      <c r="H399" s="24"/>
      <c r="I399" s="25"/>
    </row>
    <row r="400" ht="15.75" customHeight="1">
      <c r="B400" s="13"/>
      <c r="D400" s="16"/>
      <c r="E400" s="16"/>
      <c r="F400" s="19"/>
      <c r="G400" s="20"/>
      <c r="H400" s="24"/>
      <c r="I400" s="25"/>
    </row>
    <row r="401" ht="15.75" customHeight="1">
      <c r="B401" s="13"/>
      <c r="D401" s="16"/>
      <c r="E401" s="16"/>
      <c r="F401" s="19"/>
      <c r="G401" s="20"/>
      <c r="H401" s="24"/>
      <c r="I401" s="25"/>
    </row>
    <row r="402" ht="15.75" customHeight="1">
      <c r="B402" s="13"/>
      <c r="D402" s="16"/>
      <c r="E402" s="16"/>
      <c r="F402" s="19"/>
      <c r="G402" s="20"/>
      <c r="H402" s="24"/>
      <c r="I402" s="25"/>
    </row>
    <row r="403" ht="15.75" customHeight="1">
      <c r="B403" s="13"/>
      <c r="D403" s="16"/>
      <c r="E403" s="16"/>
      <c r="F403" s="19"/>
      <c r="G403" s="20"/>
      <c r="H403" s="24"/>
      <c r="I403" s="25"/>
    </row>
    <row r="404" ht="15.75" customHeight="1">
      <c r="B404" s="13"/>
      <c r="D404" s="16"/>
      <c r="E404" s="16"/>
      <c r="F404" s="19"/>
      <c r="G404" s="20"/>
      <c r="H404" s="24"/>
      <c r="I404" s="25"/>
    </row>
    <row r="405" ht="15.75" customHeight="1">
      <c r="B405" s="13"/>
      <c r="D405" s="16"/>
      <c r="E405" s="16"/>
      <c r="F405" s="19"/>
      <c r="G405" s="20"/>
      <c r="H405" s="24"/>
      <c r="I405" s="25"/>
    </row>
    <row r="406" ht="15.75" customHeight="1">
      <c r="B406" s="13"/>
      <c r="D406" s="16"/>
      <c r="E406" s="16"/>
      <c r="F406" s="19"/>
      <c r="G406" s="20"/>
      <c r="H406" s="24"/>
      <c r="I406" s="25"/>
    </row>
    <row r="407" ht="15.75" customHeight="1">
      <c r="B407" s="13"/>
      <c r="D407" s="16"/>
      <c r="E407" s="16"/>
      <c r="F407" s="19"/>
      <c r="G407" s="20"/>
      <c r="H407" s="24"/>
      <c r="I407" s="25"/>
    </row>
    <row r="408" ht="15.75" customHeight="1">
      <c r="B408" s="13"/>
      <c r="D408" s="16"/>
      <c r="E408" s="16"/>
      <c r="F408" s="19"/>
      <c r="G408" s="20"/>
      <c r="H408" s="24"/>
      <c r="I408" s="25"/>
    </row>
    <row r="409" ht="15.75" customHeight="1">
      <c r="B409" s="13"/>
      <c r="D409" s="16"/>
      <c r="E409" s="16"/>
      <c r="F409" s="19"/>
      <c r="G409" s="20"/>
      <c r="H409" s="24"/>
      <c r="I409" s="25"/>
    </row>
    <row r="410" ht="15.75" customHeight="1">
      <c r="B410" s="13"/>
      <c r="D410" s="16"/>
      <c r="E410" s="16"/>
      <c r="F410" s="19"/>
      <c r="G410" s="20"/>
      <c r="H410" s="24"/>
      <c r="I410" s="25"/>
    </row>
    <row r="411" ht="15.75" customHeight="1">
      <c r="B411" s="13"/>
      <c r="D411" s="16"/>
      <c r="E411" s="16"/>
      <c r="F411" s="19"/>
      <c r="G411" s="20"/>
      <c r="H411" s="24"/>
      <c r="I411" s="25"/>
    </row>
    <row r="412" ht="15.75" customHeight="1">
      <c r="B412" s="13"/>
      <c r="D412" s="16"/>
      <c r="E412" s="16"/>
      <c r="F412" s="19"/>
      <c r="G412" s="20"/>
      <c r="H412" s="24"/>
      <c r="I412" s="25"/>
    </row>
    <row r="413" ht="15.75" customHeight="1">
      <c r="B413" s="13"/>
      <c r="D413" s="16"/>
      <c r="E413" s="16"/>
      <c r="F413" s="19"/>
      <c r="G413" s="20"/>
      <c r="H413" s="24"/>
      <c r="I413" s="25"/>
    </row>
    <row r="414" ht="15.75" customHeight="1">
      <c r="B414" s="13"/>
      <c r="D414" s="16"/>
      <c r="E414" s="16"/>
      <c r="F414" s="19"/>
      <c r="G414" s="20"/>
      <c r="H414" s="24"/>
      <c r="I414" s="25"/>
    </row>
    <row r="415" ht="15.75" customHeight="1">
      <c r="B415" s="13"/>
      <c r="D415" s="16"/>
      <c r="E415" s="16"/>
      <c r="F415" s="19"/>
      <c r="G415" s="20"/>
      <c r="H415" s="24"/>
      <c r="I415" s="25"/>
    </row>
    <row r="416" ht="15.75" customHeight="1">
      <c r="B416" s="13"/>
      <c r="D416" s="16"/>
      <c r="E416" s="16"/>
      <c r="F416" s="19"/>
      <c r="G416" s="20"/>
      <c r="H416" s="24"/>
      <c r="I416" s="25"/>
    </row>
    <row r="417" ht="15.75" customHeight="1">
      <c r="B417" s="13"/>
      <c r="D417" s="16"/>
      <c r="E417" s="16"/>
      <c r="F417" s="19"/>
      <c r="G417" s="20"/>
      <c r="H417" s="24"/>
      <c r="I417" s="25"/>
    </row>
    <row r="418" ht="15.75" customHeight="1">
      <c r="B418" s="13"/>
      <c r="D418" s="16"/>
      <c r="E418" s="16"/>
      <c r="F418" s="19"/>
      <c r="G418" s="20"/>
      <c r="H418" s="24"/>
      <c r="I418" s="25"/>
    </row>
    <row r="419" ht="15.75" customHeight="1">
      <c r="B419" s="13"/>
      <c r="D419" s="16"/>
      <c r="E419" s="16"/>
      <c r="F419" s="19"/>
      <c r="G419" s="20"/>
      <c r="H419" s="24"/>
      <c r="I419" s="25"/>
    </row>
    <row r="420" ht="15.75" customHeight="1">
      <c r="B420" s="13"/>
      <c r="D420" s="16"/>
      <c r="E420" s="16"/>
      <c r="F420" s="19"/>
      <c r="G420" s="20"/>
      <c r="H420" s="24"/>
      <c r="I420" s="25"/>
    </row>
    <row r="421" ht="15.75" customHeight="1">
      <c r="B421" s="13"/>
      <c r="D421" s="16"/>
      <c r="E421" s="16"/>
      <c r="F421" s="19"/>
      <c r="G421" s="20"/>
      <c r="H421" s="24"/>
      <c r="I421" s="25"/>
    </row>
    <row r="422" ht="15.75" customHeight="1">
      <c r="B422" s="13"/>
      <c r="D422" s="16"/>
      <c r="E422" s="16"/>
      <c r="F422" s="19"/>
      <c r="G422" s="20"/>
      <c r="H422" s="24"/>
      <c r="I422" s="25"/>
    </row>
    <row r="423" ht="15.75" customHeight="1">
      <c r="B423" s="13"/>
      <c r="D423" s="16"/>
      <c r="E423" s="16"/>
      <c r="F423" s="19"/>
      <c r="G423" s="20"/>
      <c r="H423" s="24"/>
      <c r="I423" s="25"/>
    </row>
    <row r="424" ht="15.75" customHeight="1">
      <c r="B424" s="13"/>
      <c r="D424" s="16"/>
      <c r="E424" s="16"/>
      <c r="F424" s="19"/>
      <c r="G424" s="20"/>
      <c r="H424" s="24"/>
      <c r="I424" s="25"/>
    </row>
    <row r="425" ht="15.75" customHeight="1">
      <c r="B425" s="13"/>
      <c r="D425" s="16"/>
      <c r="E425" s="16"/>
      <c r="F425" s="19"/>
      <c r="G425" s="20"/>
      <c r="H425" s="24"/>
      <c r="I425" s="25"/>
    </row>
    <row r="426" ht="15.75" customHeight="1">
      <c r="B426" s="13"/>
      <c r="D426" s="16"/>
      <c r="E426" s="16"/>
      <c r="F426" s="19"/>
      <c r="G426" s="20"/>
      <c r="H426" s="24"/>
      <c r="I426" s="25"/>
    </row>
    <row r="427" ht="15.75" customHeight="1">
      <c r="B427" s="13"/>
      <c r="D427" s="16"/>
      <c r="E427" s="16"/>
      <c r="F427" s="19"/>
      <c r="G427" s="20"/>
      <c r="H427" s="24"/>
      <c r="I427" s="25"/>
    </row>
    <row r="428" ht="15.75" customHeight="1">
      <c r="B428" s="13"/>
      <c r="D428" s="16"/>
      <c r="E428" s="16"/>
      <c r="F428" s="19"/>
      <c r="G428" s="20"/>
      <c r="H428" s="24"/>
      <c r="I428" s="25"/>
    </row>
    <row r="429" ht="15.75" customHeight="1">
      <c r="B429" s="13"/>
      <c r="D429" s="16"/>
      <c r="E429" s="16"/>
      <c r="F429" s="19"/>
      <c r="G429" s="20"/>
      <c r="H429" s="24"/>
      <c r="I429" s="25"/>
    </row>
    <row r="430" ht="15.75" customHeight="1">
      <c r="B430" s="13"/>
      <c r="D430" s="16"/>
      <c r="E430" s="16"/>
      <c r="F430" s="19"/>
      <c r="G430" s="20"/>
      <c r="H430" s="24"/>
      <c r="I430" s="25"/>
    </row>
    <row r="431" ht="15.75" customHeight="1">
      <c r="B431" s="13"/>
      <c r="D431" s="16"/>
      <c r="E431" s="16"/>
      <c r="F431" s="19"/>
      <c r="G431" s="20"/>
      <c r="H431" s="24"/>
      <c r="I431" s="25"/>
    </row>
    <row r="432" ht="15.75" customHeight="1">
      <c r="B432" s="13"/>
      <c r="D432" s="16"/>
      <c r="E432" s="16"/>
      <c r="F432" s="19"/>
      <c r="G432" s="20"/>
      <c r="H432" s="24"/>
      <c r="I432" s="25"/>
    </row>
    <row r="433" ht="15.75" customHeight="1">
      <c r="B433" s="13"/>
      <c r="D433" s="16"/>
      <c r="E433" s="16"/>
      <c r="F433" s="19"/>
      <c r="G433" s="20"/>
      <c r="H433" s="24"/>
      <c r="I433" s="25"/>
    </row>
    <row r="434" ht="15.75" customHeight="1">
      <c r="B434" s="13"/>
      <c r="D434" s="16"/>
      <c r="E434" s="16"/>
      <c r="F434" s="19"/>
      <c r="G434" s="20"/>
      <c r="H434" s="24"/>
      <c r="I434" s="25"/>
    </row>
    <row r="435" ht="15.75" customHeight="1">
      <c r="B435" s="13"/>
      <c r="D435" s="16"/>
      <c r="E435" s="16"/>
      <c r="F435" s="19"/>
      <c r="G435" s="20"/>
      <c r="H435" s="24"/>
      <c r="I435" s="25"/>
    </row>
    <row r="436" ht="15.75" customHeight="1">
      <c r="B436" s="13"/>
      <c r="D436" s="16"/>
      <c r="E436" s="16"/>
      <c r="F436" s="19"/>
      <c r="G436" s="20"/>
      <c r="H436" s="24"/>
      <c r="I436" s="25"/>
    </row>
    <row r="437" ht="15.75" customHeight="1">
      <c r="B437" s="13"/>
      <c r="D437" s="16"/>
      <c r="E437" s="16"/>
      <c r="F437" s="19"/>
      <c r="G437" s="20"/>
      <c r="H437" s="24"/>
      <c r="I437" s="25"/>
    </row>
    <row r="438" ht="15.75" customHeight="1">
      <c r="B438" s="13"/>
      <c r="D438" s="16"/>
      <c r="E438" s="16"/>
      <c r="F438" s="19"/>
      <c r="G438" s="20"/>
      <c r="H438" s="24"/>
      <c r="I438" s="25"/>
    </row>
    <row r="439" ht="15.75" customHeight="1">
      <c r="B439" s="13"/>
      <c r="D439" s="16"/>
      <c r="E439" s="16"/>
      <c r="F439" s="19"/>
      <c r="G439" s="20"/>
      <c r="H439" s="24"/>
      <c r="I439" s="25"/>
    </row>
    <row r="440" ht="15.75" customHeight="1">
      <c r="B440" s="13"/>
      <c r="D440" s="16"/>
      <c r="E440" s="16"/>
      <c r="F440" s="19"/>
      <c r="G440" s="20"/>
      <c r="H440" s="24"/>
      <c r="I440" s="25"/>
    </row>
    <row r="441" ht="15.75" customHeight="1">
      <c r="B441" s="13"/>
      <c r="D441" s="16"/>
      <c r="E441" s="16"/>
      <c r="F441" s="19"/>
      <c r="G441" s="20"/>
      <c r="H441" s="24"/>
      <c r="I441" s="25"/>
    </row>
    <row r="442" ht="15.75" customHeight="1">
      <c r="B442" s="13"/>
      <c r="D442" s="16"/>
      <c r="E442" s="16"/>
      <c r="F442" s="19"/>
      <c r="G442" s="20"/>
      <c r="H442" s="24"/>
      <c r="I442" s="25"/>
    </row>
    <row r="443" ht="15.75" customHeight="1">
      <c r="B443" s="13"/>
      <c r="D443" s="16"/>
      <c r="E443" s="16"/>
      <c r="F443" s="19"/>
      <c r="G443" s="20"/>
      <c r="H443" s="24"/>
      <c r="I443" s="25"/>
    </row>
    <row r="444" ht="15.75" customHeight="1">
      <c r="B444" s="13"/>
      <c r="D444" s="16"/>
      <c r="E444" s="16"/>
      <c r="F444" s="19"/>
      <c r="G444" s="20"/>
      <c r="H444" s="24"/>
      <c r="I444" s="25"/>
    </row>
    <row r="445" ht="15.75" customHeight="1">
      <c r="B445" s="13"/>
      <c r="D445" s="16"/>
      <c r="E445" s="16"/>
      <c r="F445" s="19"/>
      <c r="G445" s="20"/>
      <c r="H445" s="24"/>
      <c r="I445" s="25"/>
    </row>
    <row r="446" ht="15.75" customHeight="1">
      <c r="B446" s="13"/>
      <c r="D446" s="16"/>
      <c r="E446" s="16"/>
      <c r="F446" s="19"/>
      <c r="G446" s="20"/>
      <c r="H446" s="24"/>
      <c r="I446" s="25"/>
    </row>
    <row r="447" ht="15.75" customHeight="1">
      <c r="B447" s="13"/>
      <c r="D447" s="16"/>
      <c r="E447" s="16"/>
      <c r="F447" s="19"/>
      <c r="G447" s="20"/>
      <c r="H447" s="24"/>
      <c r="I447" s="25"/>
    </row>
    <row r="448" ht="15.75" customHeight="1">
      <c r="B448" s="13"/>
      <c r="D448" s="16"/>
      <c r="E448" s="16"/>
      <c r="F448" s="19"/>
      <c r="G448" s="20"/>
      <c r="H448" s="24"/>
      <c r="I448" s="25"/>
    </row>
    <row r="449" ht="15.75" customHeight="1">
      <c r="B449" s="13"/>
      <c r="D449" s="16"/>
      <c r="E449" s="16"/>
      <c r="F449" s="19"/>
      <c r="G449" s="20"/>
      <c r="H449" s="24"/>
      <c r="I449" s="25"/>
    </row>
    <row r="450" ht="15.75" customHeight="1">
      <c r="B450" s="13"/>
      <c r="D450" s="16"/>
      <c r="E450" s="16"/>
      <c r="F450" s="19"/>
      <c r="G450" s="20"/>
      <c r="H450" s="24"/>
      <c r="I450" s="25"/>
    </row>
    <row r="451" ht="15.75" customHeight="1">
      <c r="B451" s="13"/>
      <c r="D451" s="16"/>
      <c r="E451" s="16"/>
      <c r="F451" s="19"/>
      <c r="G451" s="20"/>
      <c r="H451" s="24"/>
      <c r="I451" s="25"/>
    </row>
    <row r="452" ht="15.75" customHeight="1">
      <c r="B452" s="13"/>
      <c r="D452" s="16"/>
      <c r="E452" s="16"/>
      <c r="F452" s="19"/>
      <c r="G452" s="20"/>
      <c r="H452" s="24"/>
      <c r="I452" s="25"/>
    </row>
    <row r="453" ht="15.75" customHeight="1">
      <c r="B453" s="13"/>
      <c r="D453" s="16"/>
      <c r="E453" s="16"/>
      <c r="F453" s="19"/>
      <c r="G453" s="20"/>
      <c r="H453" s="24"/>
      <c r="I453" s="25"/>
    </row>
    <row r="454" ht="15.75" customHeight="1">
      <c r="B454" s="13"/>
      <c r="D454" s="16"/>
      <c r="E454" s="16"/>
      <c r="F454" s="19"/>
      <c r="G454" s="20"/>
      <c r="H454" s="24"/>
      <c r="I454" s="25"/>
    </row>
    <row r="455" ht="15.75" customHeight="1">
      <c r="B455" s="13"/>
      <c r="D455" s="16"/>
      <c r="E455" s="16"/>
      <c r="F455" s="19"/>
      <c r="G455" s="20"/>
      <c r="H455" s="24"/>
      <c r="I455" s="25"/>
    </row>
    <row r="456" ht="15.75" customHeight="1">
      <c r="B456" s="13"/>
      <c r="D456" s="16"/>
      <c r="E456" s="16"/>
      <c r="F456" s="19"/>
      <c r="G456" s="20"/>
      <c r="H456" s="24"/>
      <c r="I456" s="25"/>
    </row>
    <row r="457" ht="15.75" customHeight="1">
      <c r="B457" s="13"/>
      <c r="D457" s="16"/>
      <c r="E457" s="16"/>
      <c r="F457" s="19"/>
      <c r="G457" s="20"/>
      <c r="H457" s="24"/>
      <c r="I457" s="25"/>
    </row>
    <row r="458" ht="15.75" customHeight="1">
      <c r="B458" s="13"/>
      <c r="D458" s="16"/>
      <c r="E458" s="16"/>
      <c r="F458" s="19"/>
      <c r="G458" s="20"/>
      <c r="H458" s="24"/>
      <c r="I458" s="25"/>
    </row>
    <row r="459" ht="15.75" customHeight="1">
      <c r="B459" s="13"/>
      <c r="D459" s="16"/>
      <c r="E459" s="16"/>
      <c r="F459" s="19"/>
      <c r="G459" s="20"/>
      <c r="H459" s="24"/>
      <c r="I459" s="25"/>
    </row>
    <row r="460" ht="15.75" customHeight="1">
      <c r="B460" s="13"/>
      <c r="D460" s="16"/>
      <c r="E460" s="16"/>
      <c r="F460" s="19"/>
      <c r="G460" s="20"/>
      <c r="H460" s="24"/>
      <c r="I460" s="25"/>
    </row>
    <row r="461" ht="15.75" customHeight="1">
      <c r="B461" s="13"/>
      <c r="D461" s="16"/>
      <c r="E461" s="16"/>
      <c r="F461" s="19"/>
      <c r="G461" s="20"/>
      <c r="H461" s="24"/>
      <c r="I461" s="25"/>
    </row>
    <row r="462" ht="15.75" customHeight="1">
      <c r="B462" s="13"/>
      <c r="D462" s="16"/>
      <c r="E462" s="16"/>
      <c r="F462" s="19"/>
      <c r="G462" s="20"/>
      <c r="H462" s="24"/>
      <c r="I462" s="25"/>
    </row>
    <row r="463" ht="15.75" customHeight="1">
      <c r="B463" s="13"/>
      <c r="D463" s="16"/>
      <c r="E463" s="16"/>
      <c r="F463" s="19"/>
      <c r="G463" s="20"/>
      <c r="H463" s="24"/>
      <c r="I463" s="25"/>
    </row>
    <row r="464" ht="15.75" customHeight="1">
      <c r="B464" s="13"/>
      <c r="D464" s="16"/>
      <c r="E464" s="16"/>
      <c r="F464" s="19"/>
      <c r="G464" s="20"/>
      <c r="H464" s="24"/>
      <c r="I464" s="25"/>
    </row>
    <row r="465" ht="15.75" customHeight="1">
      <c r="B465" s="13"/>
      <c r="D465" s="16"/>
      <c r="E465" s="16"/>
      <c r="F465" s="19"/>
      <c r="G465" s="20"/>
      <c r="H465" s="24"/>
      <c r="I465" s="25"/>
    </row>
    <row r="466" ht="15.75" customHeight="1">
      <c r="B466" s="13"/>
      <c r="D466" s="16"/>
      <c r="E466" s="16"/>
      <c r="F466" s="19"/>
      <c r="G466" s="20"/>
      <c r="H466" s="24"/>
      <c r="I466" s="25"/>
    </row>
    <row r="467" ht="15.75" customHeight="1">
      <c r="B467" s="13"/>
      <c r="D467" s="16"/>
      <c r="E467" s="16"/>
      <c r="F467" s="19"/>
      <c r="G467" s="20"/>
      <c r="H467" s="24"/>
      <c r="I467" s="25"/>
    </row>
    <row r="468" ht="15.75" customHeight="1">
      <c r="B468" s="13"/>
      <c r="D468" s="16"/>
      <c r="E468" s="16"/>
      <c r="F468" s="19"/>
      <c r="G468" s="20"/>
      <c r="H468" s="24"/>
      <c r="I468" s="25"/>
    </row>
    <row r="469" ht="15.75" customHeight="1">
      <c r="B469" s="13"/>
      <c r="D469" s="16"/>
      <c r="E469" s="16"/>
      <c r="F469" s="19"/>
      <c r="G469" s="20"/>
      <c r="H469" s="24"/>
      <c r="I469" s="25"/>
    </row>
    <row r="470" ht="15.75" customHeight="1">
      <c r="B470" s="13"/>
      <c r="D470" s="16"/>
      <c r="E470" s="16"/>
      <c r="F470" s="19"/>
      <c r="G470" s="20"/>
      <c r="H470" s="24"/>
      <c r="I470" s="25"/>
    </row>
    <row r="471" ht="15.75" customHeight="1">
      <c r="B471" s="13"/>
      <c r="D471" s="16"/>
      <c r="E471" s="16"/>
      <c r="F471" s="19"/>
      <c r="G471" s="20"/>
      <c r="H471" s="24"/>
      <c r="I471" s="25"/>
    </row>
    <row r="472" ht="15.75" customHeight="1">
      <c r="B472" s="13"/>
      <c r="D472" s="16"/>
      <c r="E472" s="16"/>
      <c r="F472" s="19"/>
      <c r="G472" s="20"/>
      <c r="H472" s="24"/>
      <c r="I472" s="25"/>
    </row>
    <row r="473" ht="15.75" customHeight="1">
      <c r="B473" s="13"/>
      <c r="D473" s="16"/>
      <c r="E473" s="16"/>
      <c r="F473" s="19"/>
      <c r="G473" s="20"/>
      <c r="H473" s="24"/>
      <c r="I473" s="25"/>
    </row>
    <row r="474" ht="15.75" customHeight="1">
      <c r="B474" s="13"/>
      <c r="D474" s="16"/>
      <c r="E474" s="16"/>
      <c r="F474" s="19"/>
      <c r="G474" s="20"/>
      <c r="H474" s="24"/>
      <c r="I474" s="25"/>
    </row>
    <row r="475" ht="15.75" customHeight="1">
      <c r="B475" s="13"/>
      <c r="D475" s="16"/>
      <c r="E475" s="16"/>
      <c r="F475" s="19"/>
      <c r="G475" s="20"/>
      <c r="H475" s="24"/>
      <c r="I475" s="25"/>
    </row>
    <row r="476" ht="15.75" customHeight="1">
      <c r="B476" s="13"/>
      <c r="D476" s="16"/>
      <c r="E476" s="16"/>
      <c r="F476" s="19"/>
      <c r="G476" s="20"/>
      <c r="H476" s="24"/>
      <c r="I476" s="25"/>
    </row>
    <row r="477" ht="15.75" customHeight="1">
      <c r="B477" s="13"/>
      <c r="D477" s="16"/>
      <c r="E477" s="16"/>
      <c r="F477" s="19"/>
      <c r="G477" s="20"/>
      <c r="H477" s="24"/>
      <c r="I477" s="25"/>
    </row>
    <row r="478" ht="15.75" customHeight="1">
      <c r="B478" s="13"/>
      <c r="D478" s="16"/>
      <c r="E478" s="16"/>
      <c r="F478" s="19"/>
      <c r="G478" s="20"/>
      <c r="H478" s="24"/>
      <c r="I478" s="25"/>
    </row>
    <row r="479" ht="15.75" customHeight="1">
      <c r="B479" s="13"/>
      <c r="D479" s="16"/>
      <c r="E479" s="16"/>
      <c r="F479" s="19"/>
      <c r="G479" s="20"/>
      <c r="H479" s="24"/>
      <c r="I479" s="25"/>
    </row>
    <row r="480" ht="15.75" customHeight="1">
      <c r="B480" s="13"/>
      <c r="D480" s="16"/>
      <c r="E480" s="16"/>
      <c r="F480" s="19"/>
      <c r="G480" s="20"/>
      <c r="H480" s="24"/>
      <c r="I480" s="25"/>
    </row>
    <row r="481" ht="15.75" customHeight="1">
      <c r="B481" s="13"/>
      <c r="D481" s="16"/>
      <c r="E481" s="16"/>
      <c r="F481" s="19"/>
      <c r="G481" s="20"/>
      <c r="H481" s="24"/>
      <c r="I481" s="25"/>
    </row>
    <row r="482" ht="15.75" customHeight="1">
      <c r="B482" s="13"/>
      <c r="D482" s="16"/>
      <c r="E482" s="16"/>
      <c r="F482" s="19"/>
      <c r="G482" s="20"/>
      <c r="H482" s="24"/>
      <c r="I482" s="25"/>
    </row>
    <row r="483" ht="15.75" customHeight="1">
      <c r="B483" s="13"/>
      <c r="D483" s="16"/>
      <c r="E483" s="16"/>
      <c r="F483" s="19"/>
      <c r="G483" s="20"/>
      <c r="H483" s="24"/>
      <c r="I483" s="25"/>
    </row>
    <row r="484" ht="15.75" customHeight="1">
      <c r="B484" s="13"/>
      <c r="D484" s="16"/>
      <c r="E484" s="16"/>
      <c r="F484" s="19"/>
      <c r="G484" s="20"/>
      <c r="H484" s="24"/>
      <c r="I484" s="25"/>
    </row>
    <row r="485" ht="15.75" customHeight="1">
      <c r="B485" s="13"/>
      <c r="D485" s="16"/>
      <c r="E485" s="16"/>
      <c r="F485" s="19"/>
      <c r="G485" s="20"/>
      <c r="H485" s="24"/>
      <c r="I485" s="25"/>
    </row>
    <row r="486" ht="15.75" customHeight="1">
      <c r="B486" s="13"/>
      <c r="D486" s="16"/>
      <c r="E486" s="16"/>
      <c r="F486" s="19"/>
      <c r="G486" s="20"/>
      <c r="H486" s="24"/>
      <c r="I486" s="25"/>
    </row>
    <row r="487" ht="15.75" customHeight="1">
      <c r="B487" s="13"/>
      <c r="D487" s="16"/>
      <c r="E487" s="16"/>
      <c r="F487" s="19"/>
      <c r="G487" s="20"/>
      <c r="H487" s="24"/>
      <c r="I487" s="25"/>
    </row>
    <row r="488" ht="15.75" customHeight="1">
      <c r="B488" s="13"/>
      <c r="D488" s="16"/>
      <c r="E488" s="16"/>
      <c r="F488" s="19"/>
      <c r="G488" s="20"/>
      <c r="H488" s="24"/>
      <c r="I488" s="25"/>
    </row>
    <row r="489" ht="15.75" customHeight="1">
      <c r="B489" s="13"/>
      <c r="D489" s="16"/>
      <c r="E489" s="16"/>
      <c r="F489" s="19"/>
      <c r="G489" s="20"/>
      <c r="H489" s="24"/>
      <c r="I489" s="25"/>
    </row>
    <row r="490" ht="15.75" customHeight="1">
      <c r="B490" s="13"/>
      <c r="D490" s="16"/>
      <c r="E490" s="16"/>
      <c r="F490" s="19"/>
      <c r="G490" s="20"/>
      <c r="H490" s="24"/>
      <c r="I490" s="25"/>
    </row>
    <row r="491" ht="15.75" customHeight="1">
      <c r="B491" s="13"/>
      <c r="D491" s="16"/>
      <c r="E491" s="16"/>
      <c r="F491" s="19"/>
      <c r="G491" s="20"/>
      <c r="H491" s="24"/>
      <c r="I491" s="25"/>
    </row>
    <row r="492" ht="15.75" customHeight="1">
      <c r="B492" s="13"/>
      <c r="D492" s="16"/>
      <c r="E492" s="16"/>
      <c r="F492" s="19"/>
      <c r="G492" s="20"/>
      <c r="H492" s="24"/>
      <c r="I492" s="25"/>
    </row>
    <row r="493" ht="15.75" customHeight="1">
      <c r="B493" s="13"/>
      <c r="D493" s="16"/>
      <c r="E493" s="16"/>
      <c r="F493" s="19"/>
      <c r="G493" s="20"/>
      <c r="H493" s="24"/>
      <c r="I493" s="25"/>
    </row>
    <row r="494" ht="15.75" customHeight="1">
      <c r="B494" s="13"/>
      <c r="D494" s="16"/>
      <c r="E494" s="16"/>
      <c r="F494" s="19"/>
      <c r="G494" s="20"/>
      <c r="H494" s="24"/>
      <c r="I494" s="25"/>
    </row>
    <row r="495" ht="15.75" customHeight="1">
      <c r="B495" s="13"/>
      <c r="D495" s="16"/>
      <c r="E495" s="16"/>
      <c r="F495" s="19"/>
      <c r="G495" s="20"/>
      <c r="H495" s="24"/>
      <c r="I495" s="25"/>
    </row>
    <row r="496" ht="15.75" customHeight="1">
      <c r="B496" s="13"/>
      <c r="D496" s="16"/>
      <c r="E496" s="16"/>
      <c r="F496" s="19"/>
      <c r="G496" s="20"/>
      <c r="H496" s="24"/>
      <c r="I496" s="25"/>
    </row>
    <row r="497" ht="15.75" customHeight="1">
      <c r="B497" s="13"/>
      <c r="D497" s="16"/>
      <c r="E497" s="16"/>
      <c r="F497" s="19"/>
      <c r="G497" s="20"/>
      <c r="H497" s="24"/>
      <c r="I497" s="25"/>
    </row>
    <row r="498" ht="15.75" customHeight="1">
      <c r="B498" s="13"/>
      <c r="D498" s="16"/>
      <c r="E498" s="16"/>
      <c r="F498" s="19"/>
      <c r="G498" s="20"/>
      <c r="H498" s="24"/>
      <c r="I498" s="25"/>
    </row>
    <row r="499" ht="15.75" customHeight="1">
      <c r="B499" s="13"/>
      <c r="D499" s="16"/>
      <c r="E499" s="16"/>
      <c r="F499" s="19"/>
      <c r="G499" s="20"/>
      <c r="H499" s="24"/>
      <c r="I499" s="25"/>
    </row>
    <row r="500" ht="15.75" customHeight="1">
      <c r="B500" s="13"/>
      <c r="D500" s="16"/>
      <c r="E500" s="16"/>
      <c r="F500" s="19"/>
      <c r="G500" s="20"/>
      <c r="H500" s="24"/>
      <c r="I500" s="25"/>
    </row>
    <row r="501" ht="15.75" customHeight="1">
      <c r="B501" s="13"/>
      <c r="D501" s="16"/>
      <c r="E501" s="16"/>
      <c r="F501" s="19"/>
      <c r="G501" s="20"/>
      <c r="H501" s="24"/>
      <c r="I501" s="25"/>
    </row>
    <row r="502" ht="15.75" customHeight="1">
      <c r="B502" s="13"/>
      <c r="D502" s="16"/>
      <c r="E502" s="16"/>
      <c r="F502" s="19"/>
      <c r="G502" s="20"/>
      <c r="H502" s="24"/>
      <c r="I502" s="25"/>
    </row>
    <row r="503" ht="15.75" customHeight="1">
      <c r="B503" s="13"/>
      <c r="D503" s="16"/>
      <c r="E503" s="16"/>
      <c r="F503" s="19"/>
      <c r="G503" s="20"/>
      <c r="H503" s="24"/>
      <c r="I503" s="25"/>
    </row>
    <row r="504" ht="15.75" customHeight="1">
      <c r="B504" s="13"/>
      <c r="D504" s="16"/>
      <c r="E504" s="16"/>
      <c r="F504" s="19"/>
      <c r="G504" s="20"/>
      <c r="H504" s="24"/>
      <c r="I504" s="25"/>
    </row>
    <row r="505" ht="15.75" customHeight="1">
      <c r="B505" s="13"/>
      <c r="D505" s="16"/>
      <c r="E505" s="16"/>
      <c r="F505" s="19"/>
      <c r="G505" s="20"/>
      <c r="H505" s="24"/>
      <c r="I505" s="25"/>
    </row>
    <row r="506" ht="15.75" customHeight="1">
      <c r="B506" s="13"/>
      <c r="D506" s="16"/>
      <c r="E506" s="16"/>
      <c r="F506" s="19"/>
      <c r="G506" s="20"/>
      <c r="H506" s="24"/>
      <c r="I506" s="25"/>
    </row>
    <row r="507" ht="15.75" customHeight="1">
      <c r="B507" s="13"/>
      <c r="D507" s="16"/>
      <c r="E507" s="16"/>
      <c r="F507" s="19"/>
      <c r="G507" s="20"/>
      <c r="H507" s="24"/>
      <c r="I507" s="25"/>
    </row>
    <row r="508" ht="15.75" customHeight="1">
      <c r="B508" s="13"/>
      <c r="D508" s="16"/>
      <c r="E508" s="16"/>
      <c r="F508" s="19"/>
      <c r="G508" s="20"/>
      <c r="H508" s="24"/>
      <c r="I508" s="25"/>
    </row>
    <row r="509" ht="15.75" customHeight="1">
      <c r="B509" s="13"/>
      <c r="D509" s="16"/>
      <c r="E509" s="16"/>
      <c r="F509" s="19"/>
      <c r="G509" s="20"/>
      <c r="H509" s="24"/>
      <c r="I509" s="25"/>
    </row>
    <row r="510" ht="15.75" customHeight="1">
      <c r="B510" s="13"/>
      <c r="D510" s="16"/>
      <c r="E510" s="16"/>
      <c r="F510" s="19"/>
      <c r="G510" s="20"/>
      <c r="H510" s="24"/>
      <c r="I510" s="25"/>
    </row>
    <row r="511" ht="15.75" customHeight="1">
      <c r="B511" s="13"/>
      <c r="D511" s="16"/>
      <c r="E511" s="16"/>
      <c r="F511" s="19"/>
      <c r="G511" s="20"/>
      <c r="H511" s="24"/>
      <c r="I511" s="25"/>
    </row>
    <row r="512" ht="15.75" customHeight="1">
      <c r="B512" s="13"/>
      <c r="D512" s="16"/>
      <c r="E512" s="16"/>
      <c r="F512" s="19"/>
      <c r="G512" s="20"/>
      <c r="H512" s="24"/>
      <c r="I512" s="25"/>
    </row>
    <row r="513" ht="15.75" customHeight="1">
      <c r="B513" s="13"/>
      <c r="D513" s="16"/>
      <c r="E513" s="16"/>
      <c r="F513" s="19"/>
      <c r="G513" s="20"/>
      <c r="H513" s="24"/>
      <c r="I513" s="25"/>
    </row>
    <row r="514" ht="15.75" customHeight="1">
      <c r="B514" s="13"/>
      <c r="D514" s="16"/>
      <c r="E514" s="16"/>
      <c r="F514" s="19"/>
      <c r="G514" s="20"/>
      <c r="H514" s="24"/>
      <c r="I514" s="25"/>
    </row>
    <row r="515" ht="15.75" customHeight="1">
      <c r="B515" s="13"/>
      <c r="D515" s="16"/>
      <c r="E515" s="16"/>
      <c r="F515" s="19"/>
      <c r="G515" s="20"/>
      <c r="H515" s="24"/>
      <c r="I515" s="25"/>
    </row>
    <row r="516" ht="15.75" customHeight="1">
      <c r="B516" s="13"/>
      <c r="D516" s="16"/>
      <c r="E516" s="16"/>
      <c r="F516" s="19"/>
      <c r="G516" s="20"/>
      <c r="H516" s="24"/>
      <c r="I516" s="25"/>
    </row>
    <row r="517" ht="15.75" customHeight="1">
      <c r="B517" s="13"/>
      <c r="D517" s="16"/>
      <c r="E517" s="16"/>
      <c r="F517" s="19"/>
      <c r="G517" s="20"/>
      <c r="H517" s="24"/>
      <c r="I517" s="25"/>
    </row>
    <row r="518" ht="15.75" customHeight="1">
      <c r="B518" s="13"/>
      <c r="D518" s="16"/>
      <c r="E518" s="16"/>
      <c r="F518" s="19"/>
      <c r="G518" s="20"/>
      <c r="H518" s="24"/>
      <c r="I518" s="25"/>
    </row>
    <row r="519" ht="15.75" customHeight="1">
      <c r="B519" s="13"/>
      <c r="D519" s="16"/>
      <c r="E519" s="16"/>
      <c r="F519" s="19"/>
      <c r="G519" s="20"/>
      <c r="H519" s="24"/>
      <c r="I519" s="25"/>
    </row>
    <row r="520" ht="15.75" customHeight="1">
      <c r="B520" s="13"/>
      <c r="D520" s="16"/>
      <c r="E520" s="16"/>
      <c r="F520" s="19"/>
      <c r="G520" s="20"/>
      <c r="H520" s="24"/>
      <c r="I520" s="25"/>
    </row>
    <row r="521" ht="15.75" customHeight="1">
      <c r="B521" s="13"/>
      <c r="D521" s="16"/>
      <c r="E521" s="16"/>
      <c r="F521" s="19"/>
      <c r="G521" s="20"/>
      <c r="H521" s="24"/>
      <c r="I521" s="25"/>
    </row>
    <row r="522" ht="15.75" customHeight="1">
      <c r="B522" s="13"/>
      <c r="D522" s="16"/>
      <c r="E522" s="16"/>
      <c r="F522" s="19"/>
      <c r="G522" s="20"/>
      <c r="H522" s="24"/>
      <c r="I522" s="25"/>
    </row>
    <row r="523" ht="15.75" customHeight="1">
      <c r="B523" s="13"/>
      <c r="D523" s="16"/>
      <c r="E523" s="16"/>
      <c r="F523" s="19"/>
      <c r="G523" s="20"/>
      <c r="H523" s="24"/>
      <c r="I523" s="25"/>
    </row>
    <row r="524" ht="15.75" customHeight="1">
      <c r="B524" s="13"/>
      <c r="D524" s="16"/>
      <c r="E524" s="16"/>
      <c r="F524" s="19"/>
      <c r="G524" s="20"/>
      <c r="H524" s="24"/>
      <c r="I524" s="25"/>
    </row>
    <row r="525" ht="15.75" customHeight="1">
      <c r="B525" s="13"/>
      <c r="D525" s="16"/>
      <c r="E525" s="16"/>
      <c r="F525" s="19"/>
      <c r="G525" s="20"/>
      <c r="H525" s="24"/>
      <c r="I525" s="25"/>
    </row>
    <row r="526" ht="15.75" customHeight="1">
      <c r="B526" s="13"/>
      <c r="D526" s="16"/>
      <c r="E526" s="16"/>
      <c r="F526" s="19"/>
      <c r="G526" s="20"/>
      <c r="H526" s="24"/>
      <c r="I526" s="25"/>
    </row>
    <row r="527" ht="15.75" customHeight="1">
      <c r="B527" s="13"/>
      <c r="D527" s="16"/>
      <c r="E527" s="16"/>
      <c r="F527" s="19"/>
      <c r="G527" s="20"/>
      <c r="H527" s="24"/>
      <c r="I527" s="25"/>
    </row>
    <row r="528" ht="15.75" customHeight="1">
      <c r="B528" s="13"/>
      <c r="D528" s="16"/>
      <c r="E528" s="16"/>
      <c r="F528" s="19"/>
      <c r="G528" s="20"/>
      <c r="H528" s="24"/>
      <c r="I528" s="25"/>
    </row>
    <row r="529" ht="15.75" customHeight="1">
      <c r="B529" s="13"/>
      <c r="D529" s="16"/>
      <c r="E529" s="16"/>
      <c r="F529" s="19"/>
      <c r="G529" s="20"/>
      <c r="H529" s="24"/>
      <c r="I529" s="25"/>
    </row>
    <row r="530" ht="15.75" customHeight="1">
      <c r="B530" s="13"/>
      <c r="D530" s="16"/>
      <c r="E530" s="16"/>
      <c r="F530" s="19"/>
      <c r="G530" s="20"/>
      <c r="H530" s="24"/>
      <c r="I530" s="25"/>
    </row>
    <row r="531" ht="15.75" customHeight="1">
      <c r="B531" s="13"/>
      <c r="D531" s="16"/>
      <c r="E531" s="16"/>
      <c r="F531" s="19"/>
      <c r="G531" s="20"/>
      <c r="H531" s="24"/>
      <c r="I531" s="25"/>
    </row>
    <row r="532" ht="15.75" customHeight="1">
      <c r="B532" s="13"/>
      <c r="D532" s="16"/>
      <c r="E532" s="16"/>
      <c r="F532" s="19"/>
      <c r="G532" s="20"/>
      <c r="H532" s="24"/>
      <c r="I532" s="25"/>
    </row>
    <row r="533" ht="15.75" customHeight="1">
      <c r="B533" s="13"/>
      <c r="D533" s="16"/>
      <c r="E533" s="16"/>
      <c r="F533" s="19"/>
      <c r="G533" s="20"/>
      <c r="H533" s="24"/>
      <c r="I533" s="25"/>
    </row>
    <row r="534" ht="15.75" customHeight="1">
      <c r="B534" s="13"/>
      <c r="D534" s="16"/>
      <c r="E534" s="16"/>
      <c r="F534" s="19"/>
      <c r="G534" s="20"/>
      <c r="H534" s="24"/>
      <c r="I534" s="25"/>
    </row>
    <row r="535" ht="15.75" customHeight="1">
      <c r="B535" s="13"/>
      <c r="D535" s="16"/>
      <c r="E535" s="16"/>
      <c r="F535" s="19"/>
      <c r="G535" s="20"/>
      <c r="H535" s="24"/>
      <c r="I535" s="25"/>
    </row>
    <row r="536" ht="15.75" customHeight="1">
      <c r="B536" s="13"/>
      <c r="D536" s="16"/>
      <c r="E536" s="16"/>
      <c r="F536" s="19"/>
      <c r="G536" s="20"/>
      <c r="H536" s="24"/>
      <c r="I536" s="25"/>
    </row>
    <row r="537" ht="15.75" customHeight="1">
      <c r="B537" s="13"/>
      <c r="D537" s="16"/>
      <c r="E537" s="16"/>
      <c r="F537" s="19"/>
      <c r="G537" s="20"/>
      <c r="H537" s="24"/>
      <c r="I537" s="25"/>
    </row>
    <row r="538" ht="15.75" customHeight="1">
      <c r="B538" s="13"/>
      <c r="D538" s="16"/>
      <c r="E538" s="16"/>
      <c r="F538" s="19"/>
      <c r="G538" s="20"/>
      <c r="H538" s="24"/>
      <c r="I538" s="25"/>
    </row>
    <row r="539" ht="15.75" customHeight="1">
      <c r="B539" s="13"/>
      <c r="D539" s="16"/>
      <c r="E539" s="16"/>
      <c r="F539" s="19"/>
      <c r="G539" s="20"/>
      <c r="H539" s="24"/>
      <c r="I539" s="25"/>
    </row>
    <row r="540" ht="15.75" customHeight="1">
      <c r="B540" s="13"/>
      <c r="D540" s="16"/>
      <c r="E540" s="16"/>
      <c r="F540" s="19"/>
      <c r="G540" s="20"/>
      <c r="H540" s="24"/>
      <c r="I540" s="25"/>
    </row>
    <row r="541" ht="15.75" customHeight="1">
      <c r="B541" s="13"/>
      <c r="D541" s="16"/>
      <c r="E541" s="16"/>
      <c r="F541" s="19"/>
      <c r="G541" s="20"/>
      <c r="H541" s="24"/>
      <c r="I541" s="25"/>
    </row>
    <row r="542" ht="15.75" customHeight="1">
      <c r="B542" s="13"/>
      <c r="D542" s="16"/>
      <c r="E542" s="16"/>
      <c r="F542" s="19"/>
      <c r="G542" s="20"/>
      <c r="H542" s="24"/>
      <c r="I542" s="25"/>
    </row>
    <row r="543" ht="15.75" customHeight="1">
      <c r="B543" s="13"/>
      <c r="D543" s="16"/>
      <c r="E543" s="16"/>
      <c r="F543" s="19"/>
      <c r="G543" s="20"/>
      <c r="H543" s="24"/>
      <c r="I543" s="25"/>
    </row>
    <row r="544" ht="15.75" customHeight="1">
      <c r="B544" s="13"/>
      <c r="D544" s="16"/>
      <c r="E544" s="16"/>
      <c r="F544" s="19"/>
      <c r="G544" s="20"/>
      <c r="H544" s="24"/>
      <c r="I544" s="25"/>
    </row>
    <row r="545" ht="15.75" customHeight="1">
      <c r="B545" s="13"/>
      <c r="D545" s="16"/>
      <c r="E545" s="16"/>
      <c r="F545" s="19"/>
      <c r="G545" s="20"/>
      <c r="H545" s="24"/>
      <c r="I545" s="25"/>
    </row>
    <row r="546" ht="15.75" customHeight="1">
      <c r="B546" s="13"/>
      <c r="D546" s="16"/>
      <c r="E546" s="16"/>
      <c r="F546" s="19"/>
      <c r="G546" s="20"/>
      <c r="H546" s="24"/>
      <c r="I546" s="25"/>
    </row>
    <row r="547" ht="15.75" customHeight="1">
      <c r="B547" s="13"/>
      <c r="D547" s="16"/>
      <c r="E547" s="16"/>
      <c r="F547" s="19"/>
      <c r="G547" s="20"/>
      <c r="H547" s="24"/>
      <c r="I547" s="25"/>
    </row>
    <row r="548" ht="15.75" customHeight="1">
      <c r="B548" s="13"/>
      <c r="D548" s="16"/>
      <c r="E548" s="16"/>
      <c r="F548" s="19"/>
      <c r="G548" s="20"/>
      <c r="H548" s="24"/>
      <c r="I548" s="25"/>
    </row>
    <row r="549" ht="15.75" customHeight="1">
      <c r="B549" s="13"/>
      <c r="D549" s="16"/>
      <c r="E549" s="16"/>
      <c r="F549" s="19"/>
      <c r="G549" s="20"/>
      <c r="H549" s="24"/>
      <c r="I549" s="25"/>
    </row>
    <row r="550" ht="15.75" customHeight="1">
      <c r="B550" s="13"/>
      <c r="D550" s="16"/>
      <c r="E550" s="16"/>
      <c r="F550" s="19"/>
      <c r="G550" s="20"/>
      <c r="H550" s="24"/>
      <c r="I550" s="25"/>
    </row>
    <row r="551" ht="15.75" customHeight="1">
      <c r="B551" s="13"/>
      <c r="D551" s="16"/>
      <c r="E551" s="16"/>
      <c r="F551" s="19"/>
      <c r="G551" s="20"/>
      <c r="H551" s="24"/>
      <c r="I551" s="25"/>
    </row>
    <row r="552" ht="15.75" customHeight="1">
      <c r="B552" s="13"/>
      <c r="D552" s="16"/>
      <c r="E552" s="16"/>
      <c r="F552" s="19"/>
      <c r="G552" s="20"/>
      <c r="H552" s="24"/>
      <c r="I552" s="25"/>
    </row>
    <row r="553" ht="15.75" customHeight="1">
      <c r="B553" s="13"/>
      <c r="D553" s="16"/>
      <c r="E553" s="16"/>
      <c r="F553" s="19"/>
      <c r="G553" s="20"/>
      <c r="H553" s="24"/>
      <c r="I553" s="25"/>
    </row>
    <row r="554" ht="15.75" customHeight="1">
      <c r="B554" s="13"/>
      <c r="D554" s="16"/>
      <c r="E554" s="16"/>
      <c r="F554" s="19"/>
      <c r="G554" s="20"/>
      <c r="H554" s="24"/>
      <c r="I554" s="25"/>
    </row>
    <row r="555" ht="15.75" customHeight="1">
      <c r="B555" s="13"/>
      <c r="D555" s="16"/>
      <c r="E555" s="16"/>
      <c r="F555" s="19"/>
      <c r="G555" s="20"/>
      <c r="H555" s="24"/>
      <c r="I555" s="25"/>
    </row>
    <row r="556" ht="15.75" customHeight="1">
      <c r="B556" s="13"/>
      <c r="D556" s="16"/>
      <c r="E556" s="16"/>
      <c r="F556" s="19"/>
      <c r="G556" s="20"/>
      <c r="H556" s="24"/>
      <c r="I556" s="25"/>
    </row>
    <row r="557" ht="15.75" customHeight="1">
      <c r="B557" s="13"/>
      <c r="D557" s="16"/>
      <c r="E557" s="16"/>
      <c r="F557" s="19"/>
      <c r="G557" s="20"/>
      <c r="H557" s="24"/>
      <c r="I557" s="25"/>
    </row>
    <row r="558" ht="15.75" customHeight="1">
      <c r="B558" s="13"/>
      <c r="D558" s="16"/>
      <c r="E558" s="16"/>
      <c r="F558" s="19"/>
      <c r="G558" s="20"/>
      <c r="H558" s="24"/>
      <c r="I558" s="25"/>
    </row>
    <row r="559" ht="15.75" customHeight="1">
      <c r="B559" s="13"/>
      <c r="D559" s="16"/>
      <c r="E559" s="16"/>
      <c r="F559" s="19"/>
      <c r="G559" s="20"/>
      <c r="H559" s="24"/>
      <c r="I559" s="25"/>
    </row>
    <row r="560" ht="15.75" customHeight="1">
      <c r="B560" s="13"/>
      <c r="D560" s="16"/>
      <c r="E560" s="16"/>
      <c r="F560" s="19"/>
      <c r="G560" s="20"/>
      <c r="H560" s="24"/>
      <c r="I560" s="25"/>
    </row>
    <row r="561" ht="15.75" customHeight="1">
      <c r="B561" s="13"/>
      <c r="D561" s="16"/>
      <c r="E561" s="16"/>
      <c r="F561" s="19"/>
      <c r="G561" s="20"/>
      <c r="H561" s="24"/>
      <c r="I561" s="25"/>
    </row>
    <row r="562" ht="15.75" customHeight="1">
      <c r="B562" s="13"/>
      <c r="D562" s="16"/>
      <c r="E562" s="16"/>
      <c r="F562" s="19"/>
      <c r="G562" s="20"/>
      <c r="H562" s="24"/>
      <c r="I562" s="25"/>
    </row>
    <row r="563" ht="15.75" customHeight="1">
      <c r="B563" s="13"/>
      <c r="D563" s="16"/>
      <c r="E563" s="16"/>
      <c r="F563" s="19"/>
      <c r="G563" s="20"/>
      <c r="H563" s="24"/>
      <c r="I563" s="25"/>
    </row>
    <row r="564" ht="15.75" customHeight="1">
      <c r="B564" s="13"/>
      <c r="D564" s="16"/>
      <c r="E564" s="16"/>
      <c r="F564" s="19"/>
      <c r="G564" s="20"/>
      <c r="H564" s="24"/>
      <c r="I564" s="25"/>
    </row>
    <row r="565" ht="15.75" customHeight="1">
      <c r="B565" s="13"/>
      <c r="D565" s="16"/>
      <c r="E565" s="16"/>
      <c r="F565" s="19"/>
      <c r="G565" s="20"/>
      <c r="H565" s="24"/>
      <c r="I565" s="25"/>
    </row>
    <row r="566" ht="15.75" customHeight="1">
      <c r="B566" s="13"/>
      <c r="D566" s="16"/>
      <c r="E566" s="16"/>
      <c r="F566" s="19"/>
      <c r="G566" s="20"/>
      <c r="H566" s="24"/>
      <c r="I566" s="25"/>
    </row>
    <row r="567" ht="15.75" customHeight="1">
      <c r="B567" s="13"/>
      <c r="D567" s="16"/>
      <c r="E567" s="16"/>
      <c r="F567" s="19"/>
      <c r="G567" s="20"/>
      <c r="H567" s="24"/>
      <c r="I567" s="25"/>
    </row>
    <row r="568" ht="15.75" customHeight="1">
      <c r="B568" s="13"/>
      <c r="D568" s="16"/>
      <c r="E568" s="16"/>
      <c r="F568" s="19"/>
      <c r="G568" s="20"/>
      <c r="H568" s="24"/>
      <c r="I568" s="25"/>
    </row>
    <row r="569" ht="15.75" customHeight="1">
      <c r="B569" s="13"/>
      <c r="D569" s="16"/>
      <c r="E569" s="16"/>
      <c r="F569" s="19"/>
      <c r="G569" s="20"/>
      <c r="H569" s="24"/>
      <c r="I569" s="25"/>
    </row>
    <row r="570" ht="15.75" customHeight="1">
      <c r="B570" s="13"/>
      <c r="D570" s="16"/>
      <c r="E570" s="16"/>
      <c r="F570" s="19"/>
      <c r="G570" s="20"/>
      <c r="H570" s="24"/>
      <c r="I570" s="25"/>
    </row>
    <row r="571" ht="15.75" customHeight="1">
      <c r="B571" s="13"/>
      <c r="D571" s="16"/>
      <c r="E571" s="16"/>
      <c r="F571" s="19"/>
      <c r="G571" s="20"/>
      <c r="H571" s="24"/>
      <c r="I571" s="25"/>
    </row>
    <row r="572" ht="15.75" customHeight="1">
      <c r="B572" s="13"/>
      <c r="D572" s="16"/>
      <c r="E572" s="16"/>
      <c r="F572" s="19"/>
      <c r="G572" s="20"/>
      <c r="H572" s="24"/>
      <c r="I572" s="25"/>
    </row>
    <row r="573" ht="15.75" customHeight="1">
      <c r="B573" s="13"/>
      <c r="D573" s="16"/>
      <c r="E573" s="16"/>
      <c r="F573" s="19"/>
      <c r="G573" s="20"/>
      <c r="H573" s="24"/>
      <c r="I573" s="25"/>
    </row>
    <row r="574" ht="15.75" customHeight="1">
      <c r="B574" s="13"/>
      <c r="D574" s="16"/>
      <c r="E574" s="16"/>
      <c r="F574" s="19"/>
      <c r="G574" s="20"/>
      <c r="H574" s="24"/>
      <c r="I574" s="25"/>
    </row>
    <row r="575" ht="15.75" customHeight="1">
      <c r="B575" s="13"/>
      <c r="D575" s="16"/>
      <c r="E575" s="16"/>
      <c r="F575" s="19"/>
      <c r="G575" s="20"/>
      <c r="H575" s="24"/>
      <c r="I575" s="25"/>
    </row>
    <row r="576" ht="15.75" customHeight="1">
      <c r="B576" s="13"/>
      <c r="D576" s="16"/>
      <c r="E576" s="16"/>
      <c r="F576" s="19"/>
      <c r="G576" s="20"/>
      <c r="H576" s="24"/>
      <c r="I576" s="25"/>
    </row>
    <row r="577" ht="15.75" customHeight="1">
      <c r="B577" s="13"/>
      <c r="D577" s="16"/>
      <c r="E577" s="16"/>
      <c r="F577" s="19"/>
      <c r="G577" s="20"/>
      <c r="H577" s="24"/>
      <c r="I577" s="25"/>
    </row>
    <row r="578" ht="15.75" customHeight="1">
      <c r="B578" s="13"/>
      <c r="D578" s="16"/>
      <c r="E578" s="16"/>
      <c r="F578" s="19"/>
      <c r="G578" s="20"/>
      <c r="H578" s="24"/>
      <c r="I578" s="25"/>
    </row>
    <row r="579" ht="15.75" customHeight="1">
      <c r="B579" s="13"/>
      <c r="D579" s="16"/>
      <c r="E579" s="16"/>
      <c r="F579" s="19"/>
      <c r="G579" s="20"/>
      <c r="H579" s="24"/>
      <c r="I579" s="25"/>
    </row>
    <row r="580" ht="15.75" customHeight="1">
      <c r="B580" s="13"/>
      <c r="D580" s="16"/>
      <c r="E580" s="16"/>
      <c r="F580" s="19"/>
      <c r="G580" s="20"/>
      <c r="H580" s="24"/>
      <c r="I580" s="25"/>
    </row>
    <row r="581" ht="15.75" customHeight="1">
      <c r="B581" s="13"/>
      <c r="D581" s="16"/>
      <c r="E581" s="16"/>
      <c r="F581" s="19"/>
      <c r="G581" s="20"/>
      <c r="H581" s="24"/>
      <c r="I581" s="25"/>
    </row>
    <row r="582" ht="15.75" customHeight="1">
      <c r="B582" s="13"/>
      <c r="D582" s="16"/>
      <c r="E582" s="16"/>
      <c r="F582" s="19"/>
      <c r="G582" s="20"/>
      <c r="H582" s="24"/>
      <c r="I582" s="25"/>
    </row>
    <row r="583" ht="15.75" customHeight="1">
      <c r="B583" s="13"/>
      <c r="D583" s="16"/>
      <c r="E583" s="16"/>
      <c r="F583" s="19"/>
      <c r="G583" s="20"/>
      <c r="H583" s="24"/>
      <c r="I583" s="25"/>
    </row>
    <row r="584" ht="15.75" customHeight="1">
      <c r="B584" s="13"/>
      <c r="D584" s="16"/>
      <c r="E584" s="16"/>
      <c r="F584" s="19"/>
      <c r="G584" s="20"/>
      <c r="H584" s="24"/>
      <c r="I584" s="25"/>
    </row>
    <row r="585" ht="15.75" customHeight="1">
      <c r="B585" s="13"/>
      <c r="D585" s="16"/>
      <c r="E585" s="16"/>
      <c r="F585" s="19"/>
      <c r="G585" s="20"/>
      <c r="H585" s="24"/>
      <c r="I585" s="25"/>
    </row>
    <row r="586" ht="15.75" customHeight="1">
      <c r="B586" s="13"/>
      <c r="D586" s="16"/>
      <c r="E586" s="16"/>
      <c r="F586" s="19"/>
      <c r="G586" s="20"/>
      <c r="H586" s="24"/>
      <c r="I586" s="25"/>
    </row>
    <row r="587" ht="15.75" customHeight="1">
      <c r="B587" s="13"/>
      <c r="D587" s="16"/>
      <c r="E587" s="16"/>
      <c r="F587" s="19"/>
      <c r="G587" s="20"/>
      <c r="H587" s="24"/>
      <c r="I587" s="25"/>
    </row>
    <row r="588" ht="15.75" customHeight="1">
      <c r="B588" s="13"/>
      <c r="D588" s="16"/>
      <c r="E588" s="16"/>
      <c r="F588" s="19"/>
      <c r="G588" s="20"/>
      <c r="H588" s="24"/>
      <c r="I588" s="25"/>
    </row>
    <row r="589" ht="15.75" customHeight="1">
      <c r="B589" s="13"/>
      <c r="D589" s="16"/>
      <c r="E589" s="16"/>
      <c r="F589" s="19"/>
      <c r="G589" s="20"/>
      <c r="H589" s="24"/>
      <c r="I589" s="25"/>
    </row>
    <row r="590" ht="15.75" customHeight="1">
      <c r="B590" s="13"/>
      <c r="D590" s="16"/>
      <c r="E590" s="16"/>
      <c r="F590" s="19"/>
      <c r="G590" s="20"/>
      <c r="H590" s="24"/>
      <c r="I590" s="25"/>
    </row>
    <row r="591" ht="15.75" customHeight="1">
      <c r="B591" s="13"/>
      <c r="D591" s="16"/>
      <c r="E591" s="16"/>
      <c r="F591" s="19"/>
      <c r="G591" s="20"/>
      <c r="H591" s="24"/>
      <c r="I591" s="25"/>
    </row>
    <row r="592" ht="15.75" customHeight="1">
      <c r="B592" s="13"/>
      <c r="D592" s="16"/>
      <c r="E592" s="16"/>
      <c r="F592" s="19"/>
      <c r="G592" s="20"/>
      <c r="H592" s="24"/>
      <c r="I592" s="25"/>
    </row>
    <row r="593" ht="15.75" customHeight="1">
      <c r="B593" s="13"/>
      <c r="D593" s="16"/>
      <c r="E593" s="16"/>
      <c r="F593" s="19"/>
      <c r="G593" s="20"/>
      <c r="H593" s="24"/>
      <c r="I593" s="25"/>
    </row>
    <row r="594" ht="15.75" customHeight="1">
      <c r="B594" s="13"/>
      <c r="D594" s="16"/>
      <c r="E594" s="16"/>
      <c r="F594" s="19"/>
      <c r="G594" s="20"/>
      <c r="H594" s="24"/>
      <c r="I594" s="25"/>
    </row>
    <row r="595" ht="15.75" customHeight="1">
      <c r="B595" s="13"/>
      <c r="D595" s="16"/>
      <c r="E595" s="16"/>
      <c r="F595" s="19"/>
      <c r="G595" s="20"/>
      <c r="H595" s="24"/>
      <c r="I595" s="25"/>
    </row>
    <row r="596" ht="15.75" customHeight="1">
      <c r="B596" s="13"/>
      <c r="D596" s="16"/>
      <c r="E596" s="16"/>
      <c r="F596" s="19"/>
      <c r="G596" s="20"/>
      <c r="H596" s="24"/>
      <c r="I596" s="25"/>
    </row>
    <row r="597" ht="15.75" customHeight="1">
      <c r="B597" s="13"/>
      <c r="D597" s="16"/>
      <c r="E597" s="16"/>
      <c r="F597" s="19"/>
      <c r="G597" s="20"/>
      <c r="H597" s="24"/>
      <c r="I597" s="25"/>
    </row>
    <row r="598" ht="15.75" customHeight="1">
      <c r="B598" s="13"/>
      <c r="D598" s="16"/>
      <c r="E598" s="16"/>
      <c r="F598" s="19"/>
      <c r="G598" s="20"/>
      <c r="H598" s="24"/>
      <c r="I598" s="25"/>
    </row>
    <row r="599" ht="15.75" customHeight="1">
      <c r="B599" s="13"/>
      <c r="D599" s="16"/>
      <c r="E599" s="16"/>
      <c r="F599" s="19"/>
      <c r="G599" s="20"/>
      <c r="H599" s="24"/>
      <c r="I599" s="25"/>
    </row>
    <row r="600" ht="15.75" customHeight="1">
      <c r="B600" s="13"/>
      <c r="D600" s="16"/>
      <c r="E600" s="16"/>
      <c r="F600" s="19"/>
      <c r="G600" s="20"/>
      <c r="H600" s="24"/>
      <c r="I600" s="25"/>
    </row>
    <row r="601" ht="15.75" customHeight="1">
      <c r="B601" s="13"/>
      <c r="D601" s="16"/>
      <c r="E601" s="16"/>
      <c r="F601" s="19"/>
      <c r="G601" s="20"/>
      <c r="H601" s="24"/>
      <c r="I601" s="25"/>
    </row>
    <row r="602" ht="15.75" customHeight="1">
      <c r="B602" s="13"/>
      <c r="D602" s="16"/>
      <c r="E602" s="16"/>
      <c r="F602" s="19"/>
      <c r="G602" s="20"/>
      <c r="H602" s="24"/>
      <c r="I602" s="25"/>
    </row>
    <row r="603" ht="15.75" customHeight="1">
      <c r="B603" s="13"/>
      <c r="D603" s="16"/>
      <c r="E603" s="16"/>
      <c r="F603" s="19"/>
      <c r="G603" s="20"/>
      <c r="H603" s="24"/>
      <c r="I603" s="25"/>
    </row>
    <row r="604" ht="15.75" customHeight="1">
      <c r="B604" s="13"/>
      <c r="D604" s="16"/>
      <c r="E604" s="16"/>
      <c r="F604" s="19"/>
      <c r="G604" s="20"/>
      <c r="H604" s="24"/>
      <c r="I604" s="25"/>
    </row>
    <row r="605" ht="15.75" customHeight="1">
      <c r="B605" s="13"/>
      <c r="D605" s="16"/>
      <c r="E605" s="16"/>
      <c r="F605" s="19"/>
      <c r="G605" s="20"/>
      <c r="H605" s="24"/>
      <c r="I605" s="25"/>
    </row>
    <row r="606" ht="15.75" customHeight="1">
      <c r="B606" s="13"/>
      <c r="D606" s="16"/>
      <c r="E606" s="16"/>
      <c r="F606" s="19"/>
      <c r="G606" s="20"/>
      <c r="H606" s="24"/>
      <c r="I606" s="25"/>
    </row>
    <row r="607" ht="15.75" customHeight="1">
      <c r="B607" s="13"/>
      <c r="D607" s="16"/>
      <c r="E607" s="16"/>
      <c r="F607" s="19"/>
      <c r="G607" s="20"/>
      <c r="H607" s="24"/>
      <c r="I607" s="25"/>
    </row>
    <row r="608" ht="15.75" customHeight="1">
      <c r="B608" s="13"/>
      <c r="D608" s="16"/>
      <c r="E608" s="16"/>
      <c r="F608" s="19"/>
      <c r="G608" s="20"/>
      <c r="H608" s="24"/>
      <c r="I608" s="25"/>
    </row>
    <row r="609" ht="15.75" customHeight="1">
      <c r="B609" s="13"/>
      <c r="D609" s="16"/>
      <c r="E609" s="16"/>
      <c r="F609" s="19"/>
      <c r="G609" s="20"/>
      <c r="H609" s="24"/>
      <c r="I609" s="25"/>
    </row>
    <row r="610" ht="15.75" customHeight="1">
      <c r="B610" s="13"/>
      <c r="D610" s="16"/>
      <c r="E610" s="16"/>
      <c r="F610" s="19"/>
      <c r="G610" s="20"/>
      <c r="H610" s="24"/>
      <c r="I610" s="25"/>
    </row>
    <row r="611" ht="15.75" customHeight="1">
      <c r="B611" s="13"/>
      <c r="D611" s="16"/>
      <c r="E611" s="16"/>
      <c r="F611" s="19"/>
      <c r="G611" s="20"/>
      <c r="H611" s="24"/>
      <c r="I611" s="25"/>
    </row>
    <row r="612" ht="15.75" customHeight="1">
      <c r="B612" s="13"/>
      <c r="D612" s="16"/>
      <c r="E612" s="16"/>
      <c r="F612" s="19"/>
      <c r="G612" s="20"/>
      <c r="H612" s="24"/>
      <c r="I612" s="25"/>
    </row>
    <row r="613" ht="15.75" customHeight="1">
      <c r="B613" s="13"/>
      <c r="D613" s="16"/>
      <c r="E613" s="16"/>
      <c r="F613" s="19"/>
      <c r="G613" s="20"/>
      <c r="H613" s="24"/>
      <c r="I613" s="25"/>
    </row>
    <row r="614" ht="15.75" customHeight="1">
      <c r="B614" s="13"/>
      <c r="D614" s="16"/>
      <c r="E614" s="16"/>
      <c r="F614" s="19"/>
      <c r="G614" s="20"/>
      <c r="H614" s="24"/>
      <c r="I614" s="25"/>
    </row>
    <row r="615" ht="15.75" customHeight="1">
      <c r="B615" s="13"/>
      <c r="D615" s="16"/>
      <c r="E615" s="16"/>
      <c r="F615" s="19"/>
      <c r="G615" s="20"/>
      <c r="H615" s="24"/>
      <c r="I615" s="25"/>
    </row>
    <row r="616" ht="15.75" customHeight="1">
      <c r="B616" s="13"/>
      <c r="D616" s="16"/>
      <c r="E616" s="16"/>
      <c r="F616" s="19"/>
      <c r="G616" s="20"/>
      <c r="H616" s="24"/>
      <c r="I616" s="25"/>
    </row>
    <row r="617" ht="15.75" customHeight="1">
      <c r="B617" s="13"/>
      <c r="D617" s="16"/>
      <c r="E617" s="16"/>
      <c r="F617" s="19"/>
      <c r="G617" s="20"/>
      <c r="H617" s="24"/>
      <c r="I617" s="25"/>
    </row>
    <row r="618" ht="15.75" customHeight="1">
      <c r="B618" s="13"/>
      <c r="D618" s="16"/>
      <c r="E618" s="16"/>
      <c r="F618" s="19"/>
      <c r="G618" s="20"/>
      <c r="H618" s="24"/>
      <c r="I618" s="25"/>
    </row>
    <row r="619" ht="15.75" customHeight="1">
      <c r="B619" s="13"/>
      <c r="D619" s="16"/>
      <c r="E619" s="16"/>
      <c r="F619" s="19"/>
      <c r="G619" s="20"/>
      <c r="H619" s="24"/>
      <c r="I619" s="25"/>
    </row>
    <row r="620" ht="15.75" customHeight="1">
      <c r="B620" s="13"/>
      <c r="D620" s="16"/>
      <c r="E620" s="16"/>
      <c r="F620" s="19"/>
      <c r="G620" s="20"/>
      <c r="H620" s="24"/>
      <c r="I620" s="25"/>
    </row>
    <row r="621" ht="15.75" customHeight="1">
      <c r="B621" s="13"/>
      <c r="D621" s="16"/>
      <c r="E621" s="16"/>
      <c r="F621" s="19"/>
      <c r="G621" s="20"/>
      <c r="H621" s="24"/>
      <c r="I621" s="25"/>
    </row>
    <row r="622" ht="15.75" customHeight="1">
      <c r="B622" s="13"/>
      <c r="D622" s="16"/>
      <c r="E622" s="16"/>
      <c r="F622" s="19"/>
      <c r="G622" s="20"/>
      <c r="H622" s="24"/>
      <c r="I622" s="25"/>
    </row>
    <row r="623" ht="15.75" customHeight="1">
      <c r="B623" s="13"/>
      <c r="D623" s="16"/>
      <c r="E623" s="16"/>
      <c r="F623" s="19"/>
      <c r="G623" s="20"/>
      <c r="H623" s="24"/>
      <c r="I623" s="25"/>
    </row>
    <row r="624" ht="15.75" customHeight="1">
      <c r="B624" s="13"/>
      <c r="D624" s="16"/>
      <c r="E624" s="16"/>
      <c r="F624" s="19"/>
      <c r="G624" s="20"/>
      <c r="H624" s="24"/>
      <c r="I624" s="25"/>
    </row>
    <row r="625" ht="15.75" customHeight="1">
      <c r="B625" s="13"/>
      <c r="D625" s="16"/>
      <c r="E625" s="16"/>
      <c r="F625" s="19"/>
      <c r="G625" s="20"/>
      <c r="H625" s="24"/>
      <c r="I625" s="25"/>
    </row>
    <row r="626" ht="15.75" customHeight="1">
      <c r="B626" s="13"/>
      <c r="D626" s="16"/>
      <c r="E626" s="16"/>
      <c r="F626" s="19"/>
      <c r="G626" s="20"/>
      <c r="H626" s="24"/>
      <c r="I626" s="25"/>
    </row>
    <row r="627" ht="15.75" customHeight="1">
      <c r="B627" s="13"/>
      <c r="D627" s="16"/>
      <c r="E627" s="16"/>
      <c r="F627" s="19"/>
      <c r="G627" s="20"/>
      <c r="H627" s="24"/>
      <c r="I627" s="25"/>
    </row>
    <row r="628" ht="15.75" customHeight="1">
      <c r="B628" s="13"/>
      <c r="D628" s="16"/>
      <c r="E628" s="16"/>
      <c r="F628" s="19"/>
      <c r="G628" s="20"/>
      <c r="H628" s="24"/>
      <c r="I628" s="25"/>
    </row>
    <row r="629" ht="15.75" customHeight="1">
      <c r="B629" s="13"/>
      <c r="D629" s="16"/>
      <c r="E629" s="16"/>
      <c r="F629" s="19"/>
      <c r="G629" s="20"/>
      <c r="H629" s="24"/>
      <c r="I629" s="25"/>
    </row>
    <row r="630" ht="15.75" customHeight="1">
      <c r="B630" s="13"/>
      <c r="D630" s="16"/>
      <c r="E630" s="16"/>
      <c r="F630" s="19"/>
      <c r="G630" s="20"/>
      <c r="H630" s="24"/>
      <c r="I630" s="25"/>
    </row>
    <row r="631" ht="15.75" customHeight="1">
      <c r="B631" s="13"/>
      <c r="D631" s="16"/>
      <c r="E631" s="16"/>
      <c r="F631" s="19"/>
      <c r="G631" s="20"/>
      <c r="H631" s="24"/>
      <c r="I631" s="25"/>
    </row>
    <row r="632" ht="15.75" customHeight="1">
      <c r="B632" s="13"/>
      <c r="D632" s="16"/>
      <c r="E632" s="16"/>
      <c r="F632" s="19"/>
      <c r="G632" s="20"/>
      <c r="H632" s="24"/>
      <c r="I632" s="25"/>
    </row>
    <row r="633" ht="15.75" customHeight="1">
      <c r="B633" s="13"/>
      <c r="D633" s="16"/>
      <c r="E633" s="16"/>
      <c r="F633" s="19"/>
      <c r="G633" s="20"/>
      <c r="H633" s="24"/>
      <c r="I633" s="25"/>
    </row>
    <row r="634" ht="15.75" customHeight="1">
      <c r="B634" s="13"/>
      <c r="D634" s="16"/>
      <c r="E634" s="16"/>
      <c r="F634" s="19"/>
      <c r="G634" s="20"/>
      <c r="H634" s="24"/>
      <c r="I634" s="25"/>
    </row>
    <row r="635" ht="15.75" customHeight="1">
      <c r="B635" s="13"/>
      <c r="D635" s="16"/>
      <c r="E635" s="16"/>
      <c r="F635" s="19"/>
      <c r="G635" s="20"/>
      <c r="H635" s="24"/>
      <c r="I635" s="25"/>
    </row>
    <row r="636" ht="15.75" customHeight="1">
      <c r="B636" s="13"/>
      <c r="D636" s="16"/>
      <c r="E636" s="16"/>
      <c r="F636" s="19"/>
      <c r="G636" s="20"/>
      <c r="H636" s="24"/>
      <c r="I636" s="25"/>
    </row>
    <row r="637" ht="15.75" customHeight="1">
      <c r="B637" s="13"/>
      <c r="D637" s="16"/>
      <c r="E637" s="16"/>
      <c r="F637" s="19"/>
      <c r="G637" s="20"/>
      <c r="H637" s="24"/>
      <c r="I637" s="25"/>
    </row>
    <row r="638" ht="15.75" customHeight="1">
      <c r="B638" s="13"/>
      <c r="D638" s="16"/>
      <c r="E638" s="16"/>
      <c r="F638" s="19"/>
      <c r="G638" s="20"/>
      <c r="H638" s="24"/>
      <c r="I638" s="25"/>
    </row>
    <row r="639" ht="15.75" customHeight="1">
      <c r="B639" s="13"/>
      <c r="D639" s="16"/>
      <c r="E639" s="16"/>
      <c r="F639" s="19"/>
      <c r="G639" s="20"/>
      <c r="H639" s="24"/>
      <c r="I639" s="25"/>
    </row>
    <row r="640" ht="15.75" customHeight="1">
      <c r="B640" s="13"/>
      <c r="D640" s="16"/>
      <c r="E640" s="16"/>
      <c r="F640" s="19"/>
      <c r="G640" s="20"/>
      <c r="H640" s="24"/>
      <c r="I640" s="25"/>
    </row>
    <row r="641" ht="15.75" customHeight="1">
      <c r="B641" s="13"/>
      <c r="D641" s="16"/>
      <c r="E641" s="16"/>
      <c r="F641" s="19"/>
      <c r="G641" s="20"/>
      <c r="H641" s="24"/>
      <c r="I641" s="25"/>
    </row>
    <row r="642" ht="15.75" customHeight="1">
      <c r="B642" s="13"/>
      <c r="D642" s="16"/>
      <c r="E642" s="16"/>
      <c r="F642" s="19"/>
      <c r="G642" s="20"/>
      <c r="H642" s="24"/>
      <c r="I642" s="25"/>
    </row>
    <row r="643" ht="15.75" customHeight="1">
      <c r="B643" s="13"/>
      <c r="D643" s="16"/>
      <c r="E643" s="16"/>
      <c r="F643" s="19"/>
      <c r="G643" s="20"/>
      <c r="H643" s="24"/>
      <c r="I643" s="25"/>
    </row>
    <row r="644" ht="15.75" customHeight="1">
      <c r="B644" s="13"/>
      <c r="D644" s="16"/>
      <c r="E644" s="16"/>
      <c r="F644" s="19"/>
      <c r="G644" s="20"/>
      <c r="H644" s="24"/>
      <c r="I644" s="25"/>
    </row>
    <row r="645" ht="15.75" customHeight="1">
      <c r="B645" s="13"/>
      <c r="D645" s="16"/>
      <c r="E645" s="16"/>
      <c r="F645" s="19"/>
      <c r="G645" s="20"/>
      <c r="H645" s="24"/>
      <c r="I645" s="25"/>
    </row>
    <row r="646" ht="15.75" customHeight="1">
      <c r="B646" s="13"/>
      <c r="D646" s="16"/>
      <c r="E646" s="16"/>
      <c r="F646" s="19"/>
      <c r="G646" s="20"/>
      <c r="H646" s="24"/>
      <c r="I646" s="25"/>
    </row>
    <row r="647" ht="15.75" customHeight="1">
      <c r="B647" s="13"/>
      <c r="D647" s="16"/>
      <c r="E647" s="16"/>
      <c r="F647" s="19"/>
      <c r="G647" s="20"/>
      <c r="H647" s="24"/>
      <c r="I647" s="25"/>
    </row>
    <row r="648" ht="15.75" customHeight="1">
      <c r="B648" s="13"/>
      <c r="D648" s="16"/>
      <c r="E648" s="16"/>
      <c r="F648" s="19"/>
      <c r="G648" s="20"/>
      <c r="H648" s="24"/>
      <c r="I648" s="25"/>
    </row>
    <row r="649" ht="15.75" customHeight="1">
      <c r="B649" s="13"/>
      <c r="D649" s="16"/>
      <c r="E649" s="16"/>
      <c r="F649" s="19"/>
      <c r="G649" s="20"/>
      <c r="H649" s="24"/>
      <c r="I649" s="25"/>
    </row>
    <row r="650" ht="15.75" customHeight="1">
      <c r="B650" s="13"/>
      <c r="D650" s="16"/>
      <c r="E650" s="16"/>
      <c r="F650" s="19"/>
      <c r="G650" s="20"/>
      <c r="H650" s="24"/>
      <c r="I650" s="25"/>
    </row>
    <row r="651" ht="15.75" customHeight="1">
      <c r="B651" s="13"/>
      <c r="D651" s="16"/>
      <c r="E651" s="16"/>
      <c r="F651" s="19"/>
      <c r="G651" s="20"/>
      <c r="H651" s="24"/>
      <c r="I651" s="25"/>
    </row>
    <row r="652" ht="15.75" customHeight="1">
      <c r="B652" s="13"/>
      <c r="D652" s="16"/>
      <c r="E652" s="16"/>
      <c r="F652" s="19"/>
      <c r="G652" s="20"/>
      <c r="H652" s="24"/>
      <c r="I652" s="25"/>
    </row>
    <row r="653" ht="15.75" customHeight="1">
      <c r="B653" s="13"/>
      <c r="D653" s="16"/>
      <c r="E653" s="16"/>
      <c r="F653" s="19"/>
      <c r="G653" s="20"/>
      <c r="H653" s="24"/>
      <c r="I653" s="25"/>
    </row>
    <row r="654" ht="15.75" customHeight="1">
      <c r="B654" s="13"/>
      <c r="D654" s="16"/>
      <c r="E654" s="16"/>
      <c r="F654" s="19"/>
      <c r="G654" s="20"/>
      <c r="H654" s="24"/>
      <c r="I654" s="25"/>
    </row>
    <row r="655" ht="15.75" customHeight="1">
      <c r="B655" s="13"/>
      <c r="D655" s="16"/>
      <c r="E655" s="16"/>
      <c r="F655" s="19"/>
      <c r="G655" s="20"/>
      <c r="H655" s="24"/>
      <c r="I655" s="25"/>
    </row>
    <row r="656" ht="15.75" customHeight="1">
      <c r="B656" s="13"/>
      <c r="D656" s="16"/>
      <c r="E656" s="16"/>
      <c r="F656" s="19"/>
      <c r="G656" s="20"/>
      <c r="H656" s="24"/>
      <c r="I656" s="25"/>
    </row>
    <row r="657" ht="15.75" customHeight="1">
      <c r="B657" s="13"/>
      <c r="D657" s="16"/>
      <c r="E657" s="16"/>
      <c r="F657" s="19"/>
      <c r="G657" s="20"/>
      <c r="H657" s="24"/>
      <c r="I657" s="25"/>
    </row>
    <row r="658" ht="15.75" customHeight="1">
      <c r="B658" s="13"/>
      <c r="D658" s="16"/>
      <c r="E658" s="16"/>
      <c r="F658" s="19"/>
      <c r="G658" s="20"/>
      <c r="H658" s="24"/>
      <c r="I658" s="25"/>
    </row>
    <row r="659" ht="15.75" customHeight="1">
      <c r="B659" s="13"/>
      <c r="D659" s="16"/>
      <c r="E659" s="16"/>
      <c r="F659" s="19"/>
      <c r="G659" s="20"/>
      <c r="H659" s="24"/>
      <c r="I659" s="25"/>
    </row>
    <row r="660" ht="15.75" customHeight="1">
      <c r="B660" s="13"/>
      <c r="D660" s="16"/>
      <c r="E660" s="16"/>
      <c r="F660" s="19"/>
      <c r="G660" s="20"/>
      <c r="H660" s="24"/>
      <c r="I660" s="25"/>
    </row>
    <row r="661" ht="15.75" customHeight="1">
      <c r="B661" s="13"/>
      <c r="D661" s="16"/>
      <c r="E661" s="16"/>
      <c r="F661" s="19"/>
      <c r="G661" s="20"/>
      <c r="H661" s="24"/>
      <c r="I661" s="25"/>
    </row>
    <row r="662" ht="15.75" customHeight="1">
      <c r="B662" s="13"/>
      <c r="D662" s="16"/>
      <c r="E662" s="16"/>
      <c r="F662" s="19"/>
      <c r="G662" s="20"/>
      <c r="H662" s="24"/>
      <c r="I662" s="25"/>
    </row>
    <row r="663" ht="15.75" customHeight="1">
      <c r="B663" s="13"/>
      <c r="D663" s="16"/>
      <c r="E663" s="16"/>
      <c r="F663" s="19"/>
      <c r="G663" s="20"/>
      <c r="H663" s="24"/>
      <c r="I663" s="25"/>
    </row>
    <row r="664" ht="15.75" customHeight="1">
      <c r="B664" s="13"/>
      <c r="D664" s="16"/>
      <c r="E664" s="16"/>
      <c r="F664" s="19"/>
      <c r="G664" s="20"/>
      <c r="H664" s="24"/>
      <c r="I664" s="25"/>
    </row>
    <row r="665" ht="15.75" customHeight="1">
      <c r="B665" s="13"/>
      <c r="D665" s="16"/>
      <c r="E665" s="16"/>
      <c r="F665" s="19"/>
      <c r="G665" s="20"/>
      <c r="H665" s="24"/>
      <c r="I665" s="25"/>
    </row>
    <row r="666" ht="15.75" customHeight="1">
      <c r="B666" s="13"/>
      <c r="D666" s="16"/>
      <c r="E666" s="16"/>
      <c r="F666" s="19"/>
      <c r="G666" s="20"/>
      <c r="H666" s="24"/>
      <c r="I666" s="25"/>
    </row>
    <row r="667" ht="15.75" customHeight="1">
      <c r="B667" s="13"/>
      <c r="D667" s="16"/>
      <c r="E667" s="16"/>
      <c r="F667" s="19"/>
      <c r="G667" s="20"/>
      <c r="H667" s="24"/>
      <c r="I667" s="25"/>
    </row>
    <row r="668" ht="15.75" customHeight="1">
      <c r="B668" s="13"/>
      <c r="D668" s="16"/>
      <c r="E668" s="16"/>
      <c r="F668" s="19"/>
      <c r="G668" s="20"/>
      <c r="H668" s="24"/>
      <c r="I668" s="25"/>
    </row>
    <row r="669" ht="15.75" customHeight="1">
      <c r="B669" s="13"/>
      <c r="D669" s="16"/>
      <c r="E669" s="16"/>
      <c r="F669" s="19"/>
      <c r="G669" s="20"/>
      <c r="H669" s="24"/>
      <c r="I669" s="25"/>
    </row>
    <row r="670" ht="15.75" customHeight="1">
      <c r="B670" s="13"/>
      <c r="D670" s="16"/>
      <c r="E670" s="16"/>
      <c r="F670" s="19"/>
      <c r="G670" s="20"/>
      <c r="H670" s="24"/>
      <c r="I670" s="25"/>
    </row>
    <row r="671" ht="15.75" customHeight="1">
      <c r="B671" s="13"/>
      <c r="D671" s="16"/>
      <c r="E671" s="16"/>
      <c r="F671" s="19"/>
      <c r="G671" s="20"/>
      <c r="H671" s="24"/>
      <c r="I671" s="25"/>
    </row>
    <row r="672" ht="15.75" customHeight="1">
      <c r="B672" s="13"/>
      <c r="D672" s="16"/>
      <c r="E672" s="16"/>
      <c r="F672" s="19"/>
      <c r="G672" s="20"/>
      <c r="H672" s="24"/>
      <c r="I672" s="25"/>
    </row>
    <row r="673" ht="15.75" customHeight="1">
      <c r="B673" s="13"/>
      <c r="D673" s="16"/>
      <c r="E673" s="16"/>
      <c r="F673" s="19"/>
      <c r="G673" s="20"/>
      <c r="H673" s="24"/>
      <c r="I673" s="25"/>
    </row>
    <row r="674" ht="15.75" customHeight="1">
      <c r="B674" s="13"/>
      <c r="D674" s="16"/>
      <c r="E674" s="16"/>
      <c r="F674" s="19"/>
      <c r="G674" s="20"/>
      <c r="H674" s="24"/>
      <c r="I674" s="25"/>
    </row>
    <row r="675" ht="15.75" customHeight="1">
      <c r="B675" s="13"/>
      <c r="D675" s="16"/>
      <c r="E675" s="16"/>
      <c r="F675" s="19"/>
      <c r="G675" s="20"/>
      <c r="H675" s="24"/>
      <c r="I675" s="25"/>
    </row>
    <row r="676" ht="15.75" customHeight="1">
      <c r="B676" s="13"/>
      <c r="D676" s="16"/>
      <c r="E676" s="16"/>
      <c r="F676" s="19"/>
      <c r="G676" s="20"/>
      <c r="H676" s="24"/>
      <c r="I676" s="25"/>
    </row>
    <row r="677" ht="15.75" customHeight="1">
      <c r="B677" s="13"/>
      <c r="D677" s="16"/>
      <c r="E677" s="16"/>
      <c r="F677" s="19"/>
      <c r="G677" s="20"/>
      <c r="H677" s="24"/>
      <c r="I677" s="25"/>
    </row>
    <row r="678" ht="15.75" customHeight="1">
      <c r="B678" s="13"/>
      <c r="D678" s="16"/>
      <c r="E678" s="16"/>
      <c r="F678" s="19"/>
      <c r="G678" s="20"/>
      <c r="H678" s="24"/>
      <c r="I678" s="25"/>
    </row>
    <row r="679" ht="15.75" customHeight="1">
      <c r="B679" s="13"/>
      <c r="D679" s="16"/>
      <c r="E679" s="16"/>
      <c r="F679" s="19"/>
      <c r="G679" s="20"/>
      <c r="H679" s="24"/>
      <c r="I679" s="25"/>
    </row>
    <row r="680" ht="15.75" customHeight="1">
      <c r="B680" s="13"/>
      <c r="D680" s="16"/>
      <c r="E680" s="16"/>
      <c r="F680" s="19"/>
      <c r="G680" s="20"/>
      <c r="H680" s="24"/>
      <c r="I680" s="25"/>
    </row>
    <row r="681" ht="15.75" customHeight="1">
      <c r="B681" s="13"/>
      <c r="D681" s="16"/>
      <c r="E681" s="16"/>
      <c r="F681" s="19"/>
      <c r="G681" s="20"/>
      <c r="H681" s="24"/>
      <c r="I681" s="25"/>
    </row>
    <row r="682" ht="15.75" customHeight="1">
      <c r="B682" s="13"/>
      <c r="D682" s="16"/>
      <c r="E682" s="16"/>
      <c r="F682" s="19"/>
      <c r="G682" s="20"/>
      <c r="H682" s="24"/>
      <c r="I682" s="25"/>
    </row>
    <row r="683" ht="15.75" customHeight="1">
      <c r="B683" s="13"/>
      <c r="D683" s="16"/>
      <c r="E683" s="16"/>
      <c r="F683" s="19"/>
      <c r="G683" s="20"/>
      <c r="H683" s="24"/>
      <c r="I683" s="25"/>
    </row>
    <row r="684" ht="15.75" customHeight="1">
      <c r="B684" s="13"/>
      <c r="D684" s="16"/>
      <c r="E684" s="16"/>
      <c r="F684" s="19"/>
      <c r="G684" s="20"/>
      <c r="H684" s="24"/>
      <c r="I684" s="25"/>
    </row>
    <row r="685" ht="15.75" customHeight="1">
      <c r="B685" s="13"/>
      <c r="D685" s="16"/>
      <c r="E685" s="16"/>
      <c r="F685" s="19"/>
      <c r="G685" s="20"/>
      <c r="H685" s="24"/>
      <c r="I685" s="25"/>
    </row>
    <row r="686" ht="15.75" customHeight="1">
      <c r="B686" s="13"/>
      <c r="D686" s="16"/>
      <c r="E686" s="16"/>
      <c r="F686" s="19"/>
      <c r="G686" s="20"/>
      <c r="H686" s="24"/>
      <c r="I686" s="25"/>
    </row>
    <row r="687" ht="15.75" customHeight="1">
      <c r="B687" s="13"/>
      <c r="D687" s="16"/>
      <c r="E687" s="16"/>
      <c r="F687" s="19"/>
      <c r="G687" s="20"/>
      <c r="H687" s="24"/>
      <c r="I687" s="25"/>
    </row>
    <row r="688" ht="15.75" customHeight="1">
      <c r="B688" s="13"/>
      <c r="D688" s="16"/>
      <c r="E688" s="16"/>
      <c r="F688" s="19"/>
      <c r="G688" s="20"/>
      <c r="H688" s="24"/>
      <c r="I688" s="25"/>
    </row>
    <row r="689" ht="15.75" customHeight="1">
      <c r="B689" s="13"/>
      <c r="D689" s="16"/>
      <c r="E689" s="16"/>
      <c r="F689" s="19"/>
      <c r="G689" s="20"/>
      <c r="H689" s="24"/>
      <c r="I689" s="25"/>
    </row>
    <row r="690" ht="15.75" customHeight="1">
      <c r="B690" s="13"/>
      <c r="D690" s="16"/>
      <c r="E690" s="16"/>
      <c r="F690" s="19"/>
      <c r="G690" s="20"/>
      <c r="H690" s="24"/>
      <c r="I690" s="25"/>
    </row>
    <row r="691" ht="15.75" customHeight="1">
      <c r="B691" s="13"/>
      <c r="D691" s="16"/>
      <c r="E691" s="16"/>
      <c r="F691" s="19"/>
      <c r="G691" s="20"/>
      <c r="H691" s="24"/>
      <c r="I691" s="25"/>
    </row>
    <row r="692" ht="15.75" customHeight="1">
      <c r="B692" s="13"/>
      <c r="D692" s="16"/>
      <c r="E692" s="16"/>
      <c r="F692" s="19"/>
      <c r="G692" s="20"/>
      <c r="H692" s="24"/>
      <c r="I692" s="25"/>
    </row>
    <row r="693" ht="15.75" customHeight="1">
      <c r="B693" s="13"/>
      <c r="D693" s="16"/>
      <c r="E693" s="16"/>
      <c r="F693" s="19"/>
      <c r="G693" s="20"/>
      <c r="H693" s="24"/>
      <c r="I693" s="25"/>
    </row>
    <row r="694" ht="15.75" customHeight="1">
      <c r="B694" s="13"/>
      <c r="D694" s="16"/>
      <c r="E694" s="16"/>
      <c r="F694" s="19"/>
      <c r="G694" s="20"/>
      <c r="H694" s="24"/>
      <c r="I694" s="25"/>
    </row>
    <row r="695" ht="15.75" customHeight="1">
      <c r="B695" s="13"/>
      <c r="D695" s="16"/>
      <c r="E695" s="16"/>
      <c r="F695" s="19"/>
      <c r="G695" s="20"/>
      <c r="H695" s="24"/>
      <c r="I695" s="25"/>
    </row>
    <row r="696" ht="15.75" customHeight="1">
      <c r="B696" s="13"/>
      <c r="D696" s="16"/>
      <c r="E696" s="16"/>
      <c r="F696" s="19"/>
      <c r="G696" s="20"/>
      <c r="H696" s="24"/>
      <c r="I696" s="25"/>
    </row>
    <row r="697" ht="15.75" customHeight="1">
      <c r="B697" s="13"/>
      <c r="D697" s="16"/>
      <c r="E697" s="16"/>
      <c r="F697" s="19"/>
      <c r="G697" s="20"/>
      <c r="H697" s="24"/>
      <c r="I697" s="25"/>
    </row>
    <row r="698" ht="15.75" customHeight="1">
      <c r="B698" s="13"/>
      <c r="D698" s="16"/>
      <c r="E698" s="16"/>
      <c r="F698" s="19"/>
      <c r="G698" s="20"/>
      <c r="H698" s="24"/>
      <c r="I698" s="25"/>
    </row>
    <row r="699" ht="15.75" customHeight="1">
      <c r="B699" s="13"/>
      <c r="D699" s="16"/>
      <c r="E699" s="16"/>
      <c r="F699" s="19"/>
      <c r="G699" s="20"/>
      <c r="H699" s="24"/>
      <c r="I699" s="25"/>
    </row>
    <row r="700" ht="15.75" customHeight="1">
      <c r="B700" s="13"/>
      <c r="D700" s="16"/>
      <c r="E700" s="16"/>
      <c r="F700" s="19"/>
      <c r="G700" s="20"/>
      <c r="H700" s="24"/>
      <c r="I700" s="25"/>
    </row>
    <row r="701" ht="15.75" customHeight="1">
      <c r="B701" s="13"/>
      <c r="D701" s="16"/>
      <c r="E701" s="16"/>
      <c r="F701" s="19"/>
      <c r="G701" s="20"/>
      <c r="H701" s="24"/>
      <c r="I701" s="25"/>
    </row>
    <row r="702" ht="15.75" customHeight="1">
      <c r="B702" s="13"/>
      <c r="D702" s="16"/>
      <c r="E702" s="16"/>
      <c r="F702" s="19"/>
      <c r="G702" s="20"/>
      <c r="H702" s="24"/>
      <c r="I702" s="25"/>
    </row>
    <row r="703" ht="15.75" customHeight="1">
      <c r="B703" s="13"/>
      <c r="D703" s="16"/>
      <c r="E703" s="16"/>
      <c r="F703" s="19"/>
      <c r="G703" s="20"/>
      <c r="H703" s="24"/>
      <c r="I703" s="25"/>
    </row>
    <row r="704" ht="15.75" customHeight="1">
      <c r="B704" s="13"/>
      <c r="D704" s="16"/>
      <c r="E704" s="16"/>
      <c r="F704" s="19"/>
      <c r="G704" s="20"/>
      <c r="H704" s="24"/>
      <c r="I704" s="25"/>
    </row>
    <row r="705" ht="15.75" customHeight="1">
      <c r="B705" s="13"/>
      <c r="D705" s="16"/>
      <c r="E705" s="16"/>
      <c r="F705" s="19"/>
      <c r="G705" s="20"/>
      <c r="H705" s="24"/>
      <c r="I705" s="25"/>
    </row>
    <row r="706" ht="15.75" customHeight="1">
      <c r="B706" s="13"/>
      <c r="D706" s="16"/>
      <c r="E706" s="16"/>
      <c r="F706" s="19"/>
      <c r="G706" s="20"/>
      <c r="H706" s="24"/>
      <c r="I706" s="25"/>
    </row>
    <row r="707" ht="15.75" customHeight="1">
      <c r="B707" s="13"/>
      <c r="D707" s="16"/>
      <c r="E707" s="16"/>
      <c r="F707" s="19"/>
      <c r="G707" s="20"/>
      <c r="H707" s="24"/>
      <c r="I707" s="25"/>
    </row>
    <row r="708" ht="15.75" customHeight="1">
      <c r="B708" s="13"/>
      <c r="D708" s="16"/>
      <c r="E708" s="16"/>
      <c r="F708" s="19"/>
      <c r="G708" s="20"/>
      <c r="H708" s="24"/>
      <c r="I708" s="25"/>
    </row>
    <row r="709" ht="15.75" customHeight="1">
      <c r="B709" s="13"/>
      <c r="D709" s="16"/>
      <c r="E709" s="16"/>
      <c r="F709" s="19"/>
      <c r="G709" s="20"/>
      <c r="H709" s="24"/>
      <c r="I709" s="25"/>
    </row>
    <row r="710" ht="15.75" customHeight="1">
      <c r="B710" s="13"/>
      <c r="D710" s="16"/>
      <c r="E710" s="16"/>
      <c r="F710" s="19"/>
      <c r="G710" s="20"/>
      <c r="H710" s="24"/>
      <c r="I710" s="25"/>
    </row>
    <row r="711" ht="15.75" customHeight="1">
      <c r="B711" s="13"/>
      <c r="D711" s="16"/>
      <c r="E711" s="16"/>
      <c r="F711" s="19"/>
      <c r="G711" s="20"/>
      <c r="H711" s="24"/>
      <c r="I711" s="25"/>
    </row>
    <row r="712" ht="15.75" customHeight="1">
      <c r="B712" s="13"/>
      <c r="D712" s="16"/>
      <c r="E712" s="16"/>
      <c r="F712" s="19"/>
      <c r="G712" s="20"/>
      <c r="H712" s="24"/>
      <c r="I712" s="25"/>
    </row>
    <row r="713" ht="15.75" customHeight="1">
      <c r="B713" s="13"/>
      <c r="D713" s="16"/>
      <c r="E713" s="16"/>
      <c r="F713" s="19"/>
      <c r="G713" s="20"/>
      <c r="H713" s="24"/>
      <c r="I713" s="25"/>
    </row>
    <row r="714" ht="15.75" customHeight="1">
      <c r="B714" s="13"/>
      <c r="D714" s="16"/>
      <c r="E714" s="16"/>
      <c r="F714" s="19"/>
      <c r="G714" s="20"/>
      <c r="H714" s="24"/>
      <c r="I714" s="25"/>
    </row>
    <row r="715" ht="15.75" customHeight="1">
      <c r="B715" s="13"/>
      <c r="D715" s="16"/>
      <c r="E715" s="16"/>
      <c r="F715" s="19"/>
      <c r="G715" s="20"/>
      <c r="H715" s="24"/>
      <c r="I715" s="25"/>
    </row>
    <row r="716" ht="15.75" customHeight="1">
      <c r="B716" s="13"/>
      <c r="D716" s="16"/>
      <c r="E716" s="16"/>
      <c r="F716" s="19"/>
      <c r="G716" s="20"/>
      <c r="H716" s="24"/>
      <c r="I716" s="25"/>
    </row>
    <row r="717" ht="15.75" customHeight="1">
      <c r="B717" s="13"/>
      <c r="D717" s="16"/>
      <c r="E717" s="16"/>
      <c r="F717" s="19"/>
      <c r="G717" s="20"/>
      <c r="H717" s="24"/>
      <c r="I717" s="25"/>
    </row>
    <row r="718" ht="15.75" customHeight="1">
      <c r="B718" s="13"/>
      <c r="D718" s="16"/>
      <c r="E718" s="16"/>
      <c r="F718" s="19"/>
      <c r="G718" s="20"/>
      <c r="H718" s="24"/>
      <c r="I718" s="25"/>
    </row>
    <row r="719" ht="15.75" customHeight="1">
      <c r="B719" s="13"/>
      <c r="D719" s="16"/>
      <c r="E719" s="16"/>
      <c r="F719" s="19"/>
      <c r="G719" s="20"/>
      <c r="H719" s="24"/>
      <c r="I719" s="25"/>
    </row>
    <row r="720" ht="15.75" customHeight="1">
      <c r="B720" s="13"/>
      <c r="D720" s="16"/>
      <c r="E720" s="16"/>
      <c r="F720" s="19"/>
      <c r="G720" s="20"/>
      <c r="H720" s="24"/>
      <c r="I720" s="25"/>
    </row>
    <row r="721" ht="15.75" customHeight="1">
      <c r="B721" s="13"/>
      <c r="D721" s="16"/>
      <c r="E721" s="16"/>
      <c r="F721" s="19"/>
      <c r="G721" s="20"/>
      <c r="H721" s="24"/>
      <c r="I721" s="25"/>
    </row>
    <row r="722" ht="15.75" customHeight="1">
      <c r="B722" s="13"/>
      <c r="D722" s="16"/>
      <c r="E722" s="16"/>
      <c r="F722" s="19"/>
      <c r="G722" s="20"/>
      <c r="H722" s="24"/>
      <c r="I722" s="25"/>
    </row>
    <row r="723" ht="15.75" customHeight="1">
      <c r="B723" s="13"/>
      <c r="D723" s="16"/>
      <c r="E723" s="16"/>
      <c r="F723" s="19"/>
      <c r="G723" s="20"/>
      <c r="H723" s="24"/>
      <c r="I723" s="25"/>
    </row>
    <row r="724" ht="15.75" customHeight="1">
      <c r="B724" s="13"/>
      <c r="D724" s="16"/>
      <c r="E724" s="16"/>
      <c r="F724" s="19"/>
      <c r="G724" s="20"/>
      <c r="H724" s="24"/>
      <c r="I724" s="25"/>
    </row>
    <row r="725" ht="15.75" customHeight="1">
      <c r="B725" s="13"/>
      <c r="D725" s="16"/>
      <c r="E725" s="16"/>
      <c r="F725" s="19"/>
      <c r="G725" s="20"/>
      <c r="H725" s="24"/>
      <c r="I725" s="25"/>
    </row>
    <row r="726" ht="15.75" customHeight="1">
      <c r="B726" s="13"/>
      <c r="D726" s="16"/>
      <c r="E726" s="16"/>
      <c r="F726" s="19"/>
      <c r="G726" s="20"/>
      <c r="H726" s="24"/>
      <c r="I726" s="25"/>
    </row>
    <row r="727" ht="15.75" customHeight="1">
      <c r="B727" s="13"/>
      <c r="D727" s="16"/>
      <c r="E727" s="16"/>
      <c r="F727" s="19"/>
      <c r="G727" s="20"/>
      <c r="H727" s="24"/>
      <c r="I727" s="25"/>
    </row>
    <row r="728" ht="15.75" customHeight="1">
      <c r="B728" s="13"/>
      <c r="D728" s="16"/>
      <c r="E728" s="16"/>
      <c r="F728" s="19"/>
      <c r="G728" s="20"/>
      <c r="H728" s="24"/>
      <c r="I728" s="25"/>
    </row>
    <row r="729" ht="15.75" customHeight="1">
      <c r="B729" s="13"/>
      <c r="D729" s="16"/>
      <c r="E729" s="16"/>
      <c r="F729" s="19"/>
      <c r="G729" s="20"/>
      <c r="H729" s="24"/>
      <c r="I729" s="25"/>
    </row>
    <row r="730" ht="15.75" customHeight="1">
      <c r="B730" s="13"/>
      <c r="D730" s="16"/>
      <c r="E730" s="16"/>
      <c r="F730" s="19"/>
      <c r="G730" s="20"/>
      <c r="H730" s="24"/>
      <c r="I730" s="25"/>
    </row>
    <row r="731" ht="15.75" customHeight="1">
      <c r="B731" s="13"/>
      <c r="D731" s="16"/>
      <c r="E731" s="16"/>
      <c r="F731" s="19"/>
      <c r="G731" s="20"/>
      <c r="H731" s="24"/>
      <c r="I731" s="25"/>
    </row>
    <row r="732" ht="15.75" customHeight="1">
      <c r="B732" s="13"/>
      <c r="D732" s="16"/>
      <c r="E732" s="16"/>
      <c r="F732" s="19"/>
      <c r="G732" s="20"/>
      <c r="H732" s="24"/>
      <c r="I732" s="25"/>
    </row>
    <row r="733" ht="15.75" customHeight="1">
      <c r="B733" s="13"/>
      <c r="D733" s="16"/>
      <c r="E733" s="16"/>
      <c r="F733" s="19"/>
      <c r="G733" s="20"/>
      <c r="H733" s="24"/>
      <c r="I733" s="25"/>
    </row>
    <row r="734" ht="15.75" customHeight="1">
      <c r="B734" s="13"/>
      <c r="D734" s="16"/>
      <c r="E734" s="16"/>
      <c r="F734" s="19"/>
      <c r="G734" s="20"/>
      <c r="H734" s="24"/>
      <c r="I734" s="25"/>
    </row>
    <row r="735" ht="15.75" customHeight="1">
      <c r="B735" s="13"/>
      <c r="D735" s="16"/>
      <c r="E735" s="16"/>
      <c r="F735" s="19"/>
      <c r="G735" s="20"/>
      <c r="H735" s="24"/>
      <c r="I735" s="25"/>
    </row>
    <row r="736" ht="15.75" customHeight="1">
      <c r="B736" s="13"/>
      <c r="D736" s="16"/>
      <c r="E736" s="16"/>
      <c r="F736" s="19"/>
      <c r="G736" s="20"/>
      <c r="H736" s="24"/>
      <c r="I736" s="25"/>
    </row>
    <row r="737" ht="15.75" customHeight="1">
      <c r="B737" s="13"/>
      <c r="D737" s="16"/>
      <c r="E737" s="16"/>
      <c r="F737" s="19"/>
      <c r="G737" s="20"/>
      <c r="H737" s="24"/>
      <c r="I737" s="25"/>
    </row>
    <row r="738" ht="15.75" customHeight="1">
      <c r="B738" s="13"/>
      <c r="D738" s="16"/>
      <c r="E738" s="16"/>
      <c r="F738" s="19"/>
      <c r="G738" s="20"/>
      <c r="H738" s="24"/>
      <c r="I738" s="25"/>
    </row>
    <row r="739" ht="15.75" customHeight="1">
      <c r="B739" s="13"/>
      <c r="D739" s="16"/>
      <c r="E739" s="16"/>
      <c r="F739" s="19"/>
      <c r="G739" s="20"/>
      <c r="H739" s="24"/>
      <c r="I739" s="25"/>
    </row>
    <row r="740" ht="15.75" customHeight="1">
      <c r="B740" s="13"/>
      <c r="D740" s="16"/>
      <c r="E740" s="16"/>
      <c r="F740" s="19"/>
      <c r="G740" s="20"/>
      <c r="H740" s="24"/>
      <c r="I740" s="25"/>
    </row>
    <row r="741" ht="15.75" customHeight="1">
      <c r="B741" s="13"/>
      <c r="D741" s="16"/>
      <c r="E741" s="16"/>
      <c r="F741" s="19"/>
      <c r="G741" s="20"/>
      <c r="H741" s="24"/>
      <c r="I741" s="25"/>
    </row>
    <row r="742" ht="15.75" customHeight="1">
      <c r="B742" s="13"/>
      <c r="D742" s="16"/>
      <c r="E742" s="16"/>
      <c r="F742" s="19"/>
      <c r="G742" s="20"/>
      <c r="H742" s="24"/>
      <c r="I742" s="25"/>
    </row>
    <row r="743" ht="15.75" customHeight="1">
      <c r="B743" s="13"/>
      <c r="D743" s="16"/>
      <c r="E743" s="16"/>
      <c r="F743" s="19"/>
      <c r="G743" s="20"/>
      <c r="H743" s="24"/>
      <c r="I743" s="25"/>
    </row>
    <row r="744" ht="15.75" customHeight="1">
      <c r="B744" s="13"/>
      <c r="D744" s="16"/>
      <c r="E744" s="16"/>
      <c r="F744" s="19"/>
      <c r="G744" s="20"/>
      <c r="H744" s="24"/>
      <c r="I744" s="25"/>
    </row>
    <row r="745" ht="15.75" customHeight="1">
      <c r="B745" s="13"/>
      <c r="D745" s="16"/>
      <c r="E745" s="16"/>
      <c r="F745" s="19"/>
      <c r="G745" s="20"/>
      <c r="H745" s="24"/>
      <c r="I745" s="25"/>
    </row>
    <row r="746" ht="15.75" customHeight="1">
      <c r="B746" s="13"/>
      <c r="D746" s="16"/>
      <c r="E746" s="16"/>
      <c r="F746" s="19"/>
      <c r="G746" s="20"/>
      <c r="H746" s="24"/>
      <c r="I746" s="25"/>
    </row>
    <row r="747" ht="15.75" customHeight="1">
      <c r="B747" s="13"/>
      <c r="D747" s="16"/>
      <c r="E747" s="16"/>
      <c r="F747" s="19"/>
      <c r="G747" s="20"/>
      <c r="H747" s="24"/>
      <c r="I747" s="25"/>
    </row>
    <row r="748" ht="15.75" customHeight="1">
      <c r="B748" s="13"/>
      <c r="D748" s="16"/>
      <c r="E748" s="16"/>
      <c r="F748" s="19"/>
      <c r="G748" s="20"/>
      <c r="H748" s="24"/>
      <c r="I748" s="25"/>
    </row>
    <row r="749" ht="15.75" customHeight="1">
      <c r="B749" s="13"/>
      <c r="D749" s="16"/>
      <c r="E749" s="16"/>
      <c r="F749" s="19"/>
      <c r="G749" s="20"/>
      <c r="H749" s="24"/>
      <c r="I749" s="25"/>
    </row>
    <row r="750" ht="15.75" customHeight="1">
      <c r="B750" s="13"/>
      <c r="D750" s="16"/>
      <c r="E750" s="16"/>
      <c r="F750" s="19"/>
      <c r="G750" s="20"/>
      <c r="H750" s="24"/>
      <c r="I750" s="25"/>
    </row>
    <row r="751" ht="15.75" customHeight="1">
      <c r="B751" s="13"/>
      <c r="D751" s="16"/>
      <c r="E751" s="16"/>
      <c r="F751" s="19"/>
      <c r="G751" s="20"/>
      <c r="H751" s="24"/>
      <c r="I751" s="25"/>
    </row>
    <row r="752" ht="15.75" customHeight="1">
      <c r="B752" s="13"/>
      <c r="D752" s="16"/>
      <c r="E752" s="16"/>
      <c r="F752" s="19"/>
      <c r="G752" s="20"/>
      <c r="H752" s="24"/>
      <c r="I752" s="25"/>
    </row>
    <row r="753" ht="15.75" customHeight="1">
      <c r="B753" s="13"/>
      <c r="D753" s="16"/>
      <c r="E753" s="16"/>
      <c r="F753" s="19"/>
      <c r="G753" s="20"/>
      <c r="H753" s="24"/>
      <c r="I753" s="25"/>
    </row>
    <row r="754" ht="15.75" customHeight="1">
      <c r="B754" s="13"/>
      <c r="D754" s="16"/>
      <c r="E754" s="16"/>
      <c r="F754" s="19"/>
      <c r="G754" s="20"/>
      <c r="H754" s="24"/>
      <c r="I754" s="25"/>
    </row>
    <row r="755" ht="15.75" customHeight="1">
      <c r="B755" s="13"/>
      <c r="D755" s="16"/>
      <c r="E755" s="16"/>
      <c r="F755" s="19"/>
      <c r="G755" s="20"/>
      <c r="H755" s="24"/>
      <c r="I755" s="25"/>
    </row>
    <row r="756" ht="15.75" customHeight="1">
      <c r="B756" s="13"/>
      <c r="D756" s="16"/>
      <c r="E756" s="16"/>
      <c r="F756" s="19"/>
      <c r="G756" s="20"/>
      <c r="H756" s="24"/>
      <c r="I756" s="25"/>
    </row>
    <row r="757" ht="15.75" customHeight="1">
      <c r="B757" s="13"/>
      <c r="D757" s="16"/>
      <c r="E757" s="16"/>
      <c r="F757" s="19"/>
      <c r="G757" s="20"/>
      <c r="H757" s="24"/>
      <c r="I757" s="25"/>
    </row>
    <row r="758" ht="15.75" customHeight="1">
      <c r="B758" s="13"/>
      <c r="D758" s="16"/>
      <c r="E758" s="16"/>
      <c r="F758" s="19"/>
      <c r="G758" s="20"/>
      <c r="H758" s="24"/>
      <c r="I758" s="25"/>
    </row>
    <row r="759" ht="15.75" customHeight="1">
      <c r="B759" s="13"/>
      <c r="D759" s="16"/>
      <c r="E759" s="16"/>
      <c r="F759" s="19"/>
      <c r="G759" s="20"/>
      <c r="H759" s="24"/>
      <c r="I759" s="25"/>
    </row>
    <row r="760" ht="15.75" customHeight="1">
      <c r="B760" s="13"/>
      <c r="D760" s="16"/>
      <c r="E760" s="16"/>
      <c r="F760" s="19"/>
      <c r="G760" s="20"/>
      <c r="H760" s="24"/>
      <c r="I760" s="25"/>
    </row>
    <row r="761" ht="15.75" customHeight="1">
      <c r="B761" s="13"/>
      <c r="D761" s="16"/>
      <c r="E761" s="16"/>
      <c r="F761" s="19"/>
      <c r="G761" s="20"/>
      <c r="H761" s="24"/>
      <c r="I761" s="25"/>
    </row>
    <row r="762" ht="15.75" customHeight="1">
      <c r="B762" s="13"/>
      <c r="D762" s="16"/>
      <c r="E762" s="16"/>
      <c r="F762" s="19"/>
      <c r="G762" s="20"/>
      <c r="H762" s="24"/>
      <c r="I762" s="25"/>
    </row>
    <row r="763" ht="15.75" customHeight="1">
      <c r="B763" s="13"/>
      <c r="D763" s="16"/>
      <c r="E763" s="16"/>
      <c r="F763" s="19"/>
      <c r="G763" s="20"/>
      <c r="H763" s="24"/>
      <c r="I763" s="25"/>
    </row>
    <row r="764" ht="15.75" customHeight="1">
      <c r="B764" s="13"/>
      <c r="D764" s="16"/>
      <c r="E764" s="16"/>
      <c r="F764" s="19"/>
      <c r="G764" s="20"/>
      <c r="H764" s="24"/>
      <c r="I764" s="25"/>
    </row>
    <row r="765" ht="15.75" customHeight="1">
      <c r="B765" s="13"/>
      <c r="D765" s="16"/>
      <c r="E765" s="16"/>
      <c r="F765" s="19"/>
      <c r="G765" s="20"/>
      <c r="H765" s="24"/>
      <c r="I765" s="25"/>
    </row>
    <row r="766" ht="15.75" customHeight="1">
      <c r="B766" s="13"/>
      <c r="D766" s="16"/>
      <c r="E766" s="16"/>
      <c r="F766" s="19"/>
      <c r="G766" s="20"/>
      <c r="H766" s="24"/>
      <c r="I766" s="25"/>
    </row>
    <row r="767" ht="15.75" customHeight="1">
      <c r="B767" s="13"/>
      <c r="D767" s="16"/>
      <c r="E767" s="16"/>
      <c r="F767" s="19"/>
      <c r="G767" s="20"/>
      <c r="H767" s="24"/>
      <c r="I767" s="25"/>
    </row>
    <row r="768" ht="15.75" customHeight="1">
      <c r="B768" s="13"/>
      <c r="D768" s="16"/>
      <c r="E768" s="16"/>
      <c r="F768" s="19"/>
      <c r="G768" s="20"/>
      <c r="H768" s="24"/>
      <c r="I768" s="25"/>
    </row>
    <row r="769" ht="15.75" customHeight="1">
      <c r="B769" s="13"/>
      <c r="D769" s="16"/>
      <c r="E769" s="16"/>
      <c r="F769" s="19"/>
      <c r="G769" s="20"/>
      <c r="H769" s="24"/>
      <c r="I769" s="25"/>
    </row>
    <row r="770" ht="15.75" customHeight="1">
      <c r="B770" s="13"/>
      <c r="D770" s="16"/>
      <c r="E770" s="16"/>
      <c r="F770" s="19"/>
      <c r="G770" s="20"/>
      <c r="H770" s="24"/>
      <c r="I770" s="25"/>
    </row>
    <row r="771" ht="15.75" customHeight="1">
      <c r="B771" s="13"/>
      <c r="D771" s="16"/>
      <c r="E771" s="16"/>
      <c r="F771" s="19"/>
      <c r="G771" s="20"/>
      <c r="H771" s="24"/>
      <c r="I771" s="25"/>
    </row>
    <row r="772" ht="15.75" customHeight="1">
      <c r="B772" s="13"/>
      <c r="D772" s="16"/>
      <c r="E772" s="16"/>
      <c r="F772" s="19"/>
      <c r="G772" s="20"/>
      <c r="H772" s="24"/>
      <c r="I772" s="25"/>
    </row>
    <row r="773" ht="15.75" customHeight="1">
      <c r="B773" s="13"/>
      <c r="D773" s="16"/>
      <c r="E773" s="16"/>
      <c r="F773" s="19"/>
      <c r="G773" s="20"/>
      <c r="H773" s="24"/>
      <c r="I773" s="25"/>
    </row>
    <row r="774" ht="15.75" customHeight="1">
      <c r="B774" s="13"/>
      <c r="D774" s="16"/>
      <c r="E774" s="16"/>
      <c r="F774" s="19"/>
      <c r="G774" s="20"/>
      <c r="H774" s="24"/>
      <c r="I774" s="25"/>
    </row>
    <row r="775" ht="15.75" customHeight="1">
      <c r="B775" s="13"/>
      <c r="D775" s="16"/>
      <c r="E775" s="16"/>
      <c r="F775" s="19"/>
      <c r="G775" s="20"/>
      <c r="H775" s="24"/>
      <c r="I775" s="25"/>
    </row>
    <row r="776" ht="15.75" customHeight="1">
      <c r="B776" s="13"/>
      <c r="D776" s="16"/>
      <c r="E776" s="16"/>
      <c r="F776" s="19"/>
      <c r="G776" s="20"/>
      <c r="H776" s="24"/>
      <c r="I776" s="25"/>
    </row>
    <row r="777" ht="15.75" customHeight="1">
      <c r="B777" s="13"/>
      <c r="D777" s="16"/>
      <c r="E777" s="16"/>
      <c r="F777" s="19"/>
      <c r="G777" s="20"/>
      <c r="H777" s="24"/>
      <c r="I777" s="25"/>
    </row>
    <row r="778" ht="15.75" customHeight="1">
      <c r="B778" s="13"/>
      <c r="D778" s="16"/>
      <c r="E778" s="16"/>
      <c r="F778" s="19"/>
      <c r="G778" s="20"/>
      <c r="H778" s="24"/>
      <c r="I778" s="25"/>
    </row>
    <row r="779" ht="15.75" customHeight="1">
      <c r="B779" s="13"/>
      <c r="D779" s="16"/>
      <c r="E779" s="16"/>
      <c r="F779" s="19"/>
      <c r="G779" s="20"/>
      <c r="H779" s="24"/>
      <c r="I779" s="25"/>
    </row>
    <row r="780" ht="15.75" customHeight="1">
      <c r="B780" s="13"/>
      <c r="D780" s="16"/>
      <c r="E780" s="16"/>
      <c r="F780" s="19"/>
      <c r="G780" s="20"/>
      <c r="H780" s="24"/>
      <c r="I780" s="25"/>
    </row>
    <row r="781" ht="15.75" customHeight="1">
      <c r="B781" s="13"/>
      <c r="D781" s="16"/>
      <c r="E781" s="16"/>
      <c r="F781" s="19"/>
      <c r="G781" s="20"/>
      <c r="H781" s="24"/>
      <c r="I781" s="25"/>
    </row>
    <row r="782" ht="15.75" customHeight="1">
      <c r="B782" s="13"/>
      <c r="D782" s="16"/>
      <c r="E782" s="16"/>
      <c r="F782" s="19"/>
      <c r="G782" s="20"/>
      <c r="H782" s="24"/>
      <c r="I782" s="25"/>
    </row>
    <row r="783" ht="15.75" customHeight="1">
      <c r="B783" s="13"/>
      <c r="D783" s="16"/>
      <c r="E783" s="16"/>
      <c r="F783" s="19"/>
      <c r="G783" s="20"/>
      <c r="H783" s="24"/>
      <c r="I783" s="25"/>
    </row>
    <row r="784" ht="15.75" customHeight="1">
      <c r="B784" s="13"/>
      <c r="D784" s="16"/>
      <c r="E784" s="16"/>
      <c r="F784" s="19"/>
      <c r="G784" s="20"/>
      <c r="H784" s="24"/>
      <c r="I784" s="25"/>
    </row>
    <row r="785" ht="15.75" customHeight="1">
      <c r="B785" s="13"/>
      <c r="D785" s="16"/>
      <c r="E785" s="16"/>
      <c r="F785" s="19"/>
      <c r="G785" s="20"/>
      <c r="H785" s="24"/>
      <c r="I785" s="25"/>
    </row>
    <row r="786" ht="15.75" customHeight="1">
      <c r="B786" s="13"/>
      <c r="D786" s="16"/>
      <c r="E786" s="16"/>
      <c r="F786" s="19"/>
      <c r="G786" s="20"/>
      <c r="H786" s="24"/>
      <c r="I786" s="25"/>
    </row>
    <row r="787" ht="15.75" customHeight="1">
      <c r="B787" s="13"/>
      <c r="D787" s="16"/>
      <c r="E787" s="16"/>
      <c r="F787" s="19"/>
      <c r="G787" s="20"/>
      <c r="H787" s="24"/>
      <c r="I787" s="25"/>
    </row>
    <row r="788" ht="15.75" customHeight="1">
      <c r="B788" s="13"/>
      <c r="D788" s="16"/>
      <c r="E788" s="16"/>
      <c r="F788" s="19"/>
      <c r="G788" s="20"/>
      <c r="H788" s="24"/>
      <c r="I788" s="25"/>
    </row>
    <row r="789" ht="15.75" customHeight="1">
      <c r="B789" s="13"/>
      <c r="D789" s="16"/>
      <c r="E789" s="16"/>
      <c r="F789" s="19"/>
      <c r="G789" s="20"/>
      <c r="H789" s="24"/>
      <c r="I789" s="25"/>
    </row>
    <row r="790" ht="15.75" customHeight="1">
      <c r="B790" s="13"/>
      <c r="D790" s="16"/>
      <c r="E790" s="16"/>
      <c r="F790" s="19"/>
      <c r="G790" s="20"/>
      <c r="H790" s="24"/>
      <c r="I790" s="25"/>
    </row>
    <row r="791" ht="15.75" customHeight="1">
      <c r="B791" s="13"/>
      <c r="D791" s="16"/>
      <c r="E791" s="16"/>
      <c r="F791" s="19"/>
      <c r="G791" s="20"/>
      <c r="H791" s="24"/>
      <c r="I791" s="25"/>
    </row>
    <row r="792" ht="15.75" customHeight="1">
      <c r="B792" s="13"/>
      <c r="D792" s="16"/>
      <c r="E792" s="16"/>
      <c r="F792" s="19"/>
      <c r="G792" s="20"/>
      <c r="H792" s="24"/>
      <c r="I792" s="25"/>
    </row>
    <row r="793" ht="15.75" customHeight="1">
      <c r="B793" s="13"/>
      <c r="D793" s="16"/>
      <c r="E793" s="16"/>
      <c r="F793" s="19"/>
      <c r="G793" s="20"/>
      <c r="H793" s="24"/>
      <c r="I793" s="25"/>
    </row>
    <row r="794" ht="15.75" customHeight="1">
      <c r="B794" s="13"/>
      <c r="D794" s="16"/>
      <c r="E794" s="16"/>
      <c r="F794" s="19"/>
      <c r="G794" s="20"/>
      <c r="H794" s="24"/>
      <c r="I794" s="25"/>
    </row>
    <row r="795" ht="15.75" customHeight="1">
      <c r="B795" s="13"/>
      <c r="D795" s="16"/>
      <c r="E795" s="16"/>
      <c r="F795" s="19"/>
      <c r="G795" s="20"/>
      <c r="H795" s="24"/>
      <c r="I795" s="25"/>
    </row>
    <row r="796" ht="15.75" customHeight="1">
      <c r="B796" s="13"/>
      <c r="D796" s="16"/>
      <c r="E796" s="16"/>
      <c r="F796" s="19"/>
      <c r="G796" s="20"/>
      <c r="H796" s="24"/>
      <c r="I796" s="25"/>
    </row>
    <row r="797" ht="15.75" customHeight="1">
      <c r="B797" s="13"/>
      <c r="D797" s="16"/>
      <c r="E797" s="16"/>
      <c r="F797" s="19"/>
      <c r="G797" s="20"/>
      <c r="H797" s="24"/>
      <c r="I797" s="25"/>
    </row>
    <row r="798" ht="15.75" customHeight="1">
      <c r="B798" s="13"/>
      <c r="D798" s="16"/>
      <c r="E798" s="16"/>
      <c r="F798" s="19"/>
      <c r="G798" s="20"/>
      <c r="H798" s="24"/>
      <c r="I798" s="25"/>
    </row>
    <row r="799" ht="15.75" customHeight="1">
      <c r="B799" s="13"/>
      <c r="D799" s="16"/>
      <c r="E799" s="16"/>
      <c r="F799" s="19"/>
      <c r="G799" s="20"/>
      <c r="H799" s="24"/>
      <c r="I799" s="25"/>
    </row>
    <row r="800" ht="15.75" customHeight="1">
      <c r="B800" s="13"/>
      <c r="D800" s="16"/>
      <c r="E800" s="16"/>
      <c r="F800" s="19"/>
      <c r="G800" s="20"/>
      <c r="H800" s="24"/>
      <c r="I800" s="25"/>
    </row>
    <row r="801" ht="15.75" customHeight="1">
      <c r="B801" s="13"/>
      <c r="D801" s="16"/>
      <c r="E801" s="16"/>
      <c r="F801" s="19"/>
      <c r="G801" s="20"/>
      <c r="H801" s="24"/>
      <c r="I801" s="25"/>
    </row>
    <row r="802" ht="15.75" customHeight="1">
      <c r="B802" s="13"/>
      <c r="D802" s="16"/>
      <c r="E802" s="16"/>
      <c r="F802" s="19"/>
      <c r="G802" s="20"/>
      <c r="H802" s="24"/>
      <c r="I802" s="25"/>
    </row>
    <row r="803" ht="15.75" customHeight="1">
      <c r="B803" s="13"/>
      <c r="D803" s="16"/>
      <c r="E803" s="16"/>
      <c r="F803" s="19"/>
      <c r="G803" s="20"/>
      <c r="H803" s="24"/>
      <c r="I803" s="25"/>
    </row>
    <row r="804" ht="15.75" customHeight="1">
      <c r="B804" s="13"/>
      <c r="D804" s="16"/>
      <c r="E804" s="16"/>
      <c r="F804" s="19"/>
      <c r="G804" s="20"/>
      <c r="H804" s="24"/>
      <c r="I804" s="25"/>
    </row>
    <row r="805" ht="15.75" customHeight="1">
      <c r="B805" s="13"/>
      <c r="D805" s="16"/>
      <c r="E805" s="16"/>
      <c r="F805" s="19"/>
      <c r="G805" s="20"/>
      <c r="H805" s="24"/>
      <c r="I805" s="25"/>
    </row>
    <row r="806" ht="15.75" customHeight="1">
      <c r="B806" s="13"/>
      <c r="D806" s="16"/>
      <c r="E806" s="16"/>
      <c r="F806" s="19"/>
      <c r="G806" s="20"/>
      <c r="H806" s="24"/>
      <c r="I806" s="25"/>
    </row>
    <row r="807" ht="15.75" customHeight="1">
      <c r="B807" s="13"/>
      <c r="D807" s="16"/>
      <c r="E807" s="16"/>
      <c r="F807" s="19"/>
      <c r="G807" s="20"/>
      <c r="H807" s="24"/>
      <c r="I807" s="25"/>
    </row>
    <row r="808" ht="15.75" customHeight="1">
      <c r="B808" s="13"/>
      <c r="D808" s="16"/>
      <c r="E808" s="16"/>
      <c r="F808" s="19"/>
      <c r="G808" s="20"/>
      <c r="H808" s="24"/>
      <c r="I808" s="25"/>
    </row>
    <row r="809" ht="15.75" customHeight="1">
      <c r="B809" s="13"/>
      <c r="D809" s="16"/>
      <c r="E809" s="16"/>
      <c r="F809" s="19"/>
      <c r="G809" s="20"/>
      <c r="H809" s="24"/>
      <c r="I809" s="25"/>
    </row>
    <row r="810" ht="15.75" customHeight="1">
      <c r="B810" s="13"/>
      <c r="D810" s="16"/>
      <c r="E810" s="16"/>
      <c r="F810" s="19"/>
      <c r="G810" s="20"/>
      <c r="H810" s="24"/>
      <c r="I810" s="25"/>
    </row>
    <row r="811" ht="15.75" customHeight="1">
      <c r="B811" s="13"/>
      <c r="D811" s="16"/>
      <c r="E811" s="16"/>
      <c r="F811" s="19"/>
      <c r="G811" s="20"/>
      <c r="H811" s="24"/>
      <c r="I811" s="25"/>
    </row>
    <row r="812" ht="15.75" customHeight="1">
      <c r="B812" s="13"/>
      <c r="D812" s="16"/>
      <c r="E812" s="16"/>
      <c r="F812" s="19"/>
      <c r="G812" s="20"/>
      <c r="H812" s="24"/>
      <c r="I812" s="25"/>
    </row>
    <row r="813" ht="15.75" customHeight="1">
      <c r="B813" s="13"/>
      <c r="D813" s="16"/>
      <c r="E813" s="16"/>
      <c r="F813" s="19"/>
      <c r="G813" s="20"/>
      <c r="H813" s="24"/>
      <c r="I813" s="25"/>
    </row>
    <row r="814" ht="15.75" customHeight="1">
      <c r="B814" s="13"/>
      <c r="D814" s="16"/>
      <c r="E814" s="16"/>
      <c r="F814" s="19"/>
      <c r="G814" s="20"/>
      <c r="H814" s="24"/>
      <c r="I814" s="25"/>
    </row>
    <row r="815" ht="15.75" customHeight="1">
      <c r="B815" s="13"/>
      <c r="D815" s="16"/>
      <c r="E815" s="16"/>
      <c r="F815" s="19"/>
      <c r="G815" s="20"/>
      <c r="H815" s="24"/>
      <c r="I815" s="25"/>
    </row>
    <row r="816" ht="15.75" customHeight="1">
      <c r="B816" s="13"/>
      <c r="D816" s="16"/>
      <c r="E816" s="16"/>
      <c r="F816" s="19"/>
      <c r="G816" s="20"/>
      <c r="H816" s="24"/>
      <c r="I816" s="25"/>
    </row>
    <row r="817" ht="15.75" customHeight="1">
      <c r="B817" s="13"/>
      <c r="D817" s="16"/>
      <c r="E817" s="16"/>
      <c r="F817" s="19"/>
      <c r="G817" s="20"/>
      <c r="H817" s="24"/>
      <c r="I817" s="25"/>
    </row>
    <row r="818" ht="15.75" customHeight="1">
      <c r="B818" s="13"/>
      <c r="D818" s="16"/>
      <c r="E818" s="16"/>
      <c r="F818" s="19"/>
      <c r="G818" s="20"/>
      <c r="H818" s="24"/>
      <c r="I818" s="25"/>
    </row>
    <row r="819" ht="15.75" customHeight="1">
      <c r="B819" s="13"/>
      <c r="D819" s="16"/>
      <c r="E819" s="16"/>
      <c r="F819" s="19"/>
      <c r="G819" s="20"/>
      <c r="H819" s="24"/>
      <c r="I819" s="25"/>
    </row>
    <row r="820" ht="15.75" customHeight="1">
      <c r="B820" s="13"/>
      <c r="D820" s="16"/>
      <c r="E820" s="16"/>
      <c r="F820" s="19"/>
      <c r="G820" s="20"/>
      <c r="H820" s="24"/>
      <c r="I820" s="25"/>
    </row>
    <row r="821" ht="15.75" customHeight="1">
      <c r="B821" s="13"/>
      <c r="D821" s="16"/>
      <c r="E821" s="16"/>
      <c r="F821" s="19"/>
      <c r="G821" s="20"/>
      <c r="H821" s="24"/>
      <c r="I821" s="25"/>
    </row>
    <row r="822" ht="15.75" customHeight="1">
      <c r="B822" s="13"/>
      <c r="D822" s="16"/>
      <c r="E822" s="16"/>
      <c r="F822" s="19"/>
      <c r="G822" s="20"/>
      <c r="H822" s="24"/>
      <c r="I822" s="25"/>
    </row>
    <row r="823" ht="15.75" customHeight="1">
      <c r="B823" s="13"/>
      <c r="D823" s="16"/>
      <c r="E823" s="16"/>
      <c r="F823" s="19"/>
      <c r="G823" s="20"/>
      <c r="H823" s="24"/>
      <c r="I823" s="25"/>
    </row>
    <row r="824" ht="15.75" customHeight="1">
      <c r="B824" s="13"/>
      <c r="D824" s="16"/>
      <c r="E824" s="16"/>
      <c r="F824" s="19"/>
      <c r="G824" s="20"/>
      <c r="H824" s="24"/>
      <c r="I824" s="25"/>
    </row>
    <row r="825" ht="15.75" customHeight="1">
      <c r="B825" s="13"/>
      <c r="D825" s="16"/>
      <c r="E825" s="16"/>
      <c r="F825" s="19"/>
      <c r="G825" s="20"/>
      <c r="H825" s="24"/>
      <c r="I825" s="25"/>
    </row>
    <row r="826" ht="15.75" customHeight="1">
      <c r="B826" s="13"/>
      <c r="D826" s="16"/>
      <c r="E826" s="16"/>
      <c r="F826" s="19"/>
      <c r="G826" s="20"/>
      <c r="H826" s="24"/>
      <c r="I826" s="25"/>
    </row>
    <row r="827" ht="15.75" customHeight="1">
      <c r="B827" s="13"/>
      <c r="D827" s="16"/>
      <c r="E827" s="16"/>
      <c r="F827" s="19"/>
      <c r="G827" s="20"/>
      <c r="H827" s="24"/>
      <c r="I827" s="25"/>
    </row>
    <row r="828" ht="15.75" customHeight="1">
      <c r="B828" s="13"/>
      <c r="D828" s="16"/>
      <c r="E828" s="16"/>
      <c r="F828" s="19"/>
      <c r="G828" s="20"/>
      <c r="H828" s="24"/>
      <c r="I828" s="25"/>
    </row>
    <row r="829" ht="15.75" customHeight="1">
      <c r="B829" s="13"/>
      <c r="D829" s="16"/>
      <c r="E829" s="16"/>
      <c r="F829" s="19"/>
      <c r="G829" s="20"/>
      <c r="H829" s="24"/>
      <c r="I829" s="25"/>
    </row>
    <row r="830" ht="15.75" customHeight="1">
      <c r="B830" s="13"/>
      <c r="D830" s="16"/>
      <c r="E830" s="16"/>
      <c r="F830" s="19"/>
      <c r="G830" s="20"/>
      <c r="H830" s="24"/>
      <c r="I830" s="25"/>
    </row>
    <row r="831" ht="15.75" customHeight="1">
      <c r="B831" s="13"/>
      <c r="D831" s="16"/>
      <c r="E831" s="16"/>
      <c r="F831" s="19"/>
      <c r="G831" s="20"/>
      <c r="H831" s="24"/>
      <c r="I831" s="25"/>
    </row>
    <row r="832" ht="15.75" customHeight="1">
      <c r="B832" s="13"/>
      <c r="D832" s="16"/>
      <c r="E832" s="16"/>
      <c r="F832" s="19"/>
      <c r="G832" s="20"/>
      <c r="H832" s="24"/>
      <c r="I832" s="25"/>
    </row>
    <row r="833" ht="15.75" customHeight="1">
      <c r="B833" s="13"/>
      <c r="D833" s="16"/>
      <c r="E833" s="16"/>
      <c r="F833" s="19"/>
      <c r="G833" s="20"/>
      <c r="H833" s="24"/>
      <c r="I833" s="25"/>
    </row>
    <row r="834" ht="15.75" customHeight="1">
      <c r="B834" s="13"/>
      <c r="D834" s="16"/>
      <c r="E834" s="16"/>
      <c r="F834" s="19"/>
      <c r="G834" s="20"/>
      <c r="H834" s="24"/>
      <c r="I834" s="25"/>
    </row>
    <row r="835" ht="15.75" customHeight="1">
      <c r="B835" s="13"/>
      <c r="D835" s="16"/>
      <c r="E835" s="16"/>
      <c r="F835" s="19"/>
      <c r="G835" s="20"/>
      <c r="H835" s="24"/>
      <c r="I835" s="25"/>
    </row>
    <row r="836" ht="15.75" customHeight="1">
      <c r="B836" s="13"/>
      <c r="D836" s="16"/>
      <c r="E836" s="16"/>
      <c r="F836" s="19"/>
      <c r="G836" s="20"/>
      <c r="H836" s="24"/>
      <c r="I836" s="25"/>
    </row>
    <row r="837" ht="15.75" customHeight="1">
      <c r="B837" s="13"/>
      <c r="D837" s="16"/>
      <c r="E837" s="16"/>
      <c r="F837" s="19"/>
      <c r="G837" s="20"/>
      <c r="H837" s="24"/>
      <c r="I837" s="25"/>
    </row>
    <row r="838" ht="15.75" customHeight="1">
      <c r="B838" s="13"/>
      <c r="D838" s="16"/>
      <c r="E838" s="16"/>
      <c r="F838" s="19"/>
      <c r="G838" s="20"/>
      <c r="H838" s="24"/>
      <c r="I838" s="25"/>
    </row>
    <row r="839" ht="15.75" customHeight="1">
      <c r="B839" s="13"/>
      <c r="D839" s="16"/>
      <c r="E839" s="16"/>
      <c r="F839" s="19"/>
      <c r="G839" s="20"/>
      <c r="H839" s="24"/>
      <c r="I839" s="25"/>
    </row>
    <row r="840" ht="15.75" customHeight="1">
      <c r="B840" s="13"/>
      <c r="D840" s="16"/>
      <c r="E840" s="16"/>
      <c r="F840" s="19"/>
      <c r="G840" s="20"/>
      <c r="H840" s="24"/>
      <c r="I840" s="25"/>
    </row>
    <row r="841" ht="15.75" customHeight="1">
      <c r="B841" s="13"/>
      <c r="D841" s="16"/>
      <c r="E841" s="16"/>
      <c r="F841" s="19"/>
      <c r="G841" s="20"/>
      <c r="H841" s="24"/>
      <c r="I841" s="25"/>
    </row>
    <row r="842" ht="15.75" customHeight="1">
      <c r="B842" s="13"/>
      <c r="D842" s="16"/>
      <c r="E842" s="16"/>
      <c r="F842" s="19"/>
      <c r="G842" s="20"/>
      <c r="H842" s="24"/>
      <c r="I842" s="25"/>
    </row>
    <row r="843" ht="15.75" customHeight="1">
      <c r="B843" s="13"/>
      <c r="D843" s="16"/>
      <c r="E843" s="16"/>
      <c r="F843" s="19"/>
      <c r="G843" s="20"/>
      <c r="H843" s="24"/>
      <c r="I843" s="25"/>
    </row>
    <row r="844" ht="15.75" customHeight="1">
      <c r="B844" s="13"/>
      <c r="D844" s="16"/>
      <c r="E844" s="16"/>
      <c r="F844" s="19"/>
      <c r="G844" s="20"/>
      <c r="H844" s="24"/>
      <c r="I844" s="25"/>
    </row>
    <row r="845" ht="15.75" customHeight="1">
      <c r="B845" s="13"/>
      <c r="D845" s="16"/>
      <c r="E845" s="16"/>
      <c r="F845" s="19"/>
      <c r="G845" s="20"/>
      <c r="H845" s="24"/>
      <c r="I845" s="25"/>
    </row>
    <row r="846" ht="15.75" customHeight="1">
      <c r="B846" s="13"/>
      <c r="D846" s="16"/>
      <c r="E846" s="16"/>
      <c r="F846" s="19"/>
      <c r="G846" s="20"/>
      <c r="H846" s="24"/>
      <c r="I846" s="25"/>
    </row>
    <row r="847" ht="15.75" customHeight="1">
      <c r="B847" s="13"/>
      <c r="D847" s="16"/>
      <c r="E847" s="16"/>
      <c r="F847" s="19"/>
      <c r="G847" s="20"/>
      <c r="H847" s="24"/>
      <c r="I847" s="25"/>
    </row>
    <row r="848" ht="15.75" customHeight="1">
      <c r="B848" s="13"/>
      <c r="D848" s="16"/>
      <c r="E848" s="16"/>
      <c r="F848" s="19"/>
      <c r="G848" s="20"/>
      <c r="H848" s="24"/>
      <c r="I848" s="25"/>
    </row>
    <row r="849" ht="15.75" customHeight="1">
      <c r="B849" s="13"/>
      <c r="D849" s="16"/>
      <c r="E849" s="16"/>
      <c r="F849" s="19"/>
      <c r="G849" s="20"/>
      <c r="H849" s="24"/>
      <c r="I849" s="25"/>
    </row>
    <row r="850" ht="15.75" customHeight="1">
      <c r="B850" s="13"/>
      <c r="D850" s="16"/>
      <c r="E850" s="16"/>
      <c r="F850" s="19"/>
      <c r="G850" s="20"/>
      <c r="H850" s="24"/>
      <c r="I850" s="25"/>
    </row>
    <row r="851" ht="15.75" customHeight="1">
      <c r="B851" s="13"/>
      <c r="D851" s="16"/>
      <c r="E851" s="16"/>
      <c r="F851" s="19"/>
      <c r="G851" s="20"/>
      <c r="H851" s="24"/>
      <c r="I851" s="25"/>
    </row>
    <row r="852" ht="15.75" customHeight="1">
      <c r="B852" s="13"/>
      <c r="D852" s="16"/>
      <c r="E852" s="16"/>
      <c r="F852" s="19"/>
      <c r="G852" s="20"/>
      <c r="H852" s="24"/>
      <c r="I852" s="25"/>
    </row>
    <row r="853" ht="15.75" customHeight="1">
      <c r="B853" s="13"/>
      <c r="D853" s="16"/>
      <c r="E853" s="16"/>
      <c r="F853" s="19"/>
      <c r="G853" s="20"/>
      <c r="H853" s="24"/>
      <c r="I853" s="25"/>
    </row>
    <row r="854" ht="15.75" customHeight="1">
      <c r="B854" s="13"/>
      <c r="D854" s="16"/>
      <c r="E854" s="16"/>
      <c r="F854" s="19"/>
      <c r="G854" s="20"/>
      <c r="H854" s="24"/>
      <c r="I854" s="25"/>
    </row>
    <row r="855" ht="15.75" customHeight="1">
      <c r="B855" s="13"/>
      <c r="D855" s="16"/>
      <c r="E855" s="16"/>
      <c r="F855" s="19"/>
      <c r="G855" s="20"/>
      <c r="H855" s="24"/>
      <c r="I855" s="25"/>
    </row>
    <row r="856" ht="15.75" customHeight="1">
      <c r="B856" s="13"/>
      <c r="D856" s="16"/>
      <c r="E856" s="16"/>
      <c r="F856" s="19"/>
      <c r="G856" s="20"/>
      <c r="H856" s="24"/>
      <c r="I856" s="25"/>
    </row>
    <row r="857" ht="15.75" customHeight="1">
      <c r="B857" s="13"/>
      <c r="D857" s="16"/>
      <c r="E857" s="16"/>
      <c r="F857" s="19"/>
      <c r="G857" s="20"/>
      <c r="H857" s="24"/>
      <c r="I857" s="25"/>
    </row>
    <row r="858" ht="15.75" customHeight="1">
      <c r="B858" s="13"/>
      <c r="D858" s="16"/>
      <c r="E858" s="16"/>
      <c r="F858" s="19"/>
      <c r="G858" s="20"/>
      <c r="H858" s="24"/>
      <c r="I858" s="25"/>
    </row>
    <row r="859" ht="15.75" customHeight="1">
      <c r="B859" s="13"/>
      <c r="D859" s="16"/>
      <c r="E859" s="16"/>
      <c r="F859" s="19"/>
      <c r="G859" s="20"/>
      <c r="H859" s="24"/>
      <c r="I859" s="25"/>
    </row>
    <row r="860" ht="15.75" customHeight="1">
      <c r="B860" s="13"/>
      <c r="D860" s="16"/>
      <c r="E860" s="16"/>
      <c r="F860" s="19"/>
      <c r="G860" s="20"/>
      <c r="H860" s="24"/>
      <c r="I860" s="25"/>
    </row>
    <row r="861" ht="15.75" customHeight="1">
      <c r="B861" s="13"/>
      <c r="D861" s="16"/>
      <c r="E861" s="16"/>
      <c r="F861" s="19"/>
      <c r="G861" s="20"/>
      <c r="H861" s="24"/>
      <c r="I861" s="25"/>
    </row>
    <row r="862" ht="15.75" customHeight="1">
      <c r="B862" s="13"/>
      <c r="D862" s="16"/>
      <c r="E862" s="16"/>
      <c r="F862" s="19"/>
      <c r="G862" s="20"/>
      <c r="H862" s="24"/>
      <c r="I862" s="25"/>
    </row>
    <row r="863" ht="15.75" customHeight="1">
      <c r="B863" s="13"/>
      <c r="D863" s="16"/>
      <c r="E863" s="16"/>
      <c r="F863" s="19"/>
      <c r="G863" s="20"/>
      <c r="H863" s="24"/>
      <c r="I863" s="25"/>
    </row>
    <row r="864" ht="15.75" customHeight="1">
      <c r="B864" s="13"/>
      <c r="D864" s="16"/>
      <c r="E864" s="16"/>
      <c r="F864" s="19"/>
      <c r="G864" s="20"/>
      <c r="H864" s="24"/>
      <c r="I864" s="25"/>
    </row>
    <row r="865" ht="15.75" customHeight="1">
      <c r="B865" s="13"/>
      <c r="D865" s="16"/>
      <c r="E865" s="16"/>
      <c r="F865" s="19"/>
      <c r="G865" s="20"/>
      <c r="H865" s="24"/>
      <c r="I865" s="25"/>
    </row>
    <row r="866" ht="15.75" customHeight="1">
      <c r="B866" s="13"/>
      <c r="D866" s="16"/>
      <c r="E866" s="16"/>
      <c r="F866" s="19"/>
      <c r="G866" s="20"/>
      <c r="H866" s="24"/>
      <c r="I866" s="25"/>
    </row>
    <row r="867" ht="15.75" customHeight="1">
      <c r="B867" s="13"/>
      <c r="D867" s="16"/>
      <c r="E867" s="16"/>
      <c r="F867" s="19"/>
      <c r="G867" s="20"/>
      <c r="H867" s="24"/>
      <c r="I867" s="25"/>
    </row>
    <row r="868" ht="15.75" customHeight="1">
      <c r="B868" s="13"/>
      <c r="D868" s="16"/>
      <c r="E868" s="16"/>
      <c r="F868" s="19"/>
      <c r="G868" s="20"/>
      <c r="H868" s="24"/>
      <c r="I868" s="25"/>
    </row>
    <row r="869" ht="15.75" customHeight="1">
      <c r="B869" s="13"/>
      <c r="D869" s="16"/>
      <c r="E869" s="16"/>
      <c r="F869" s="19"/>
      <c r="G869" s="20"/>
      <c r="H869" s="24"/>
      <c r="I869" s="25"/>
    </row>
    <row r="870" ht="15.75" customHeight="1">
      <c r="B870" s="13"/>
      <c r="D870" s="16"/>
      <c r="E870" s="16"/>
      <c r="F870" s="19"/>
      <c r="G870" s="20"/>
      <c r="H870" s="24"/>
      <c r="I870" s="25"/>
    </row>
    <row r="871" ht="15.75" customHeight="1">
      <c r="B871" s="13"/>
      <c r="D871" s="16"/>
      <c r="E871" s="16"/>
      <c r="F871" s="19"/>
      <c r="G871" s="20"/>
      <c r="H871" s="24"/>
      <c r="I871" s="25"/>
    </row>
    <row r="872" ht="15.75" customHeight="1">
      <c r="B872" s="13"/>
      <c r="D872" s="16"/>
      <c r="E872" s="16"/>
      <c r="F872" s="19"/>
      <c r="G872" s="20"/>
      <c r="H872" s="24"/>
      <c r="I872" s="25"/>
    </row>
    <row r="873" ht="15.75" customHeight="1">
      <c r="B873" s="13"/>
      <c r="D873" s="16"/>
      <c r="E873" s="16"/>
      <c r="F873" s="19"/>
      <c r="G873" s="20"/>
      <c r="H873" s="24"/>
      <c r="I873" s="25"/>
    </row>
    <row r="874" ht="15.75" customHeight="1">
      <c r="B874" s="13"/>
      <c r="D874" s="16"/>
      <c r="E874" s="16"/>
      <c r="F874" s="19"/>
      <c r="G874" s="20"/>
      <c r="H874" s="24"/>
      <c r="I874" s="25"/>
    </row>
    <row r="875" ht="15.75" customHeight="1">
      <c r="B875" s="13"/>
      <c r="D875" s="16"/>
      <c r="E875" s="16"/>
      <c r="F875" s="19"/>
      <c r="G875" s="20"/>
      <c r="H875" s="24"/>
      <c r="I875" s="25"/>
    </row>
    <row r="876" ht="15.75" customHeight="1">
      <c r="B876" s="13"/>
      <c r="D876" s="16"/>
      <c r="E876" s="16"/>
      <c r="F876" s="19"/>
      <c r="G876" s="20"/>
      <c r="H876" s="24"/>
      <c r="I876" s="25"/>
    </row>
    <row r="877" ht="15.75" customHeight="1">
      <c r="B877" s="13"/>
      <c r="D877" s="16"/>
      <c r="E877" s="16"/>
      <c r="F877" s="19"/>
      <c r="G877" s="20"/>
      <c r="H877" s="24"/>
      <c r="I877" s="25"/>
    </row>
    <row r="878" ht="15.75" customHeight="1">
      <c r="B878" s="13"/>
      <c r="D878" s="16"/>
      <c r="E878" s="16"/>
      <c r="F878" s="19"/>
      <c r="G878" s="20"/>
      <c r="H878" s="24"/>
      <c r="I878" s="25"/>
    </row>
    <row r="879" ht="15.75" customHeight="1">
      <c r="B879" s="13"/>
      <c r="D879" s="16"/>
      <c r="E879" s="16"/>
      <c r="F879" s="19"/>
      <c r="G879" s="20"/>
      <c r="H879" s="24"/>
      <c r="I879" s="25"/>
    </row>
    <row r="880" ht="15.75" customHeight="1">
      <c r="B880" s="13"/>
      <c r="D880" s="16"/>
      <c r="E880" s="16"/>
      <c r="F880" s="19"/>
      <c r="G880" s="20"/>
      <c r="H880" s="24"/>
      <c r="I880" s="25"/>
    </row>
    <row r="881" ht="15.75" customHeight="1">
      <c r="B881" s="13"/>
      <c r="D881" s="16"/>
      <c r="E881" s="16"/>
      <c r="F881" s="19"/>
      <c r="G881" s="20"/>
      <c r="H881" s="24"/>
      <c r="I881" s="25"/>
    </row>
    <row r="882" ht="15.75" customHeight="1">
      <c r="B882" s="13"/>
      <c r="D882" s="16"/>
      <c r="E882" s="16"/>
      <c r="F882" s="19"/>
      <c r="G882" s="20"/>
      <c r="H882" s="24"/>
      <c r="I882" s="25"/>
    </row>
    <row r="883" ht="15.75" customHeight="1">
      <c r="B883" s="13"/>
      <c r="D883" s="16"/>
      <c r="E883" s="16"/>
      <c r="F883" s="19"/>
      <c r="G883" s="20"/>
      <c r="H883" s="24"/>
      <c r="I883" s="25"/>
    </row>
    <row r="884" ht="15.75" customHeight="1">
      <c r="B884" s="13"/>
      <c r="D884" s="16"/>
      <c r="E884" s="16"/>
      <c r="F884" s="19"/>
      <c r="G884" s="20"/>
      <c r="H884" s="24"/>
      <c r="I884" s="25"/>
    </row>
    <row r="885" ht="15.75" customHeight="1">
      <c r="B885" s="13"/>
      <c r="D885" s="16"/>
      <c r="E885" s="16"/>
      <c r="F885" s="19"/>
      <c r="G885" s="20"/>
      <c r="H885" s="24"/>
      <c r="I885" s="25"/>
    </row>
    <row r="886" ht="15.75" customHeight="1">
      <c r="B886" s="13"/>
      <c r="D886" s="16"/>
      <c r="E886" s="16"/>
      <c r="F886" s="19"/>
      <c r="G886" s="20"/>
      <c r="H886" s="24"/>
      <c r="I886" s="25"/>
    </row>
    <row r="887" ht="15.75" customHeight="1">
      <c r="B887" s="13"/>
      <c r="D887" s="16"/>
      <c r="E887" s="16"/>
      <c r="F887" s="19"/>
      <c r="G887" s="20"/>
      <c r="H887" s="24"/>
      <c r="I887" s="25"/>
    </row>
    <row r="888" ht="15.75" customHeight="1">
      <c r="B888" s="13"/>
      <c r="D888" s="16"/>
      <c r="E888" s="16"/>
      <c r="F888" s="19"/>
      <c r="G888" s="20"/>
      <c r="H888" s="24"/>
      <c r="I888" s="25"/>
    </row>
    <row r="889" ht="15.75" customHeight="1">
      <c r="B889" s="13"/>
      <c r="D889" s="16"/>
      <c r="E889" s="16"/>
      <c r="F889" s="19"/>
      <c r="G889" s="20"/>
      <c r="H889" s="24"/>
      <c r="I889" s="25"/>
    </row>
    <row r="890" ht="15.75" customHeight="1">
      <c r="B890" s="13"/>
      <c r="D890" s="16"/>
      <c r="E890" s="16"/>
      <c r="F890" s="19"/>
      <c r="G890" s="20"/>
      <c r="H890" s="24"/>
      <c r="I890" s="25"/>
    </row>
    <row r="891" ht="15.75" customHeight="1">
      <c r="B891" s="13"/>
      <c r="D891" s="16"/>
      <c r="E891" s="16"/>
      <c r="F891" s="19"/>
      <c r="G891" s="20"/>
      <c r="H891" s="24"/>
      <c r="I891" s="25"/>
    </row>
    <row r="892" ht="15.75" customHeight="1">
      <c r="B892" s="13"/>
      <c r="D892" s="16"/>
      <c r="E892" s="16"/>
      <c r="F892" s="19"/>
      <c r="G892" s="20"/>
      <c r="H892" s="24"/>
      <c r="I892" s="25"/>
    </row>
    <row r="893" ht="15.75" customHeight="1">
      <c r="B893" s="13"/>
      <c r="D893" s="16"/>
      <c r="E893" s="16"/>
      <c r="F893" s="19"/>
      <c r="G893" s="20"/>
      <c r="H893" s="24"/>
      <c r="I893" s="25"/>
    </row>
    <row r="894" ht="15.75" customHeight="1">
      <c r="B894" s="13"/>
      <c r="D894" s="16"/>
      <c r="E894" s="16"/>
      <c r="F894" s="19"/>
      <c r="G894" s="20"/>
      <c r="H894" s="24"/>
      <c r="I894" s="25"/>
    </row>
    <row r="895" ht="15.75" customHeight="1">
      <c r="B895" s="13"/>
      <c r="D895" s="16"/>
      <c r="E895" s="16"/>
      <c r="F895" s="19"/>
      <c r="G895" s="20"/>
      <c r="H895" s="24"/>
      <c r="I895" s="25"/>
    </row>
    <row r="896" ht="15.75" customHeight="1">
      <c r="B896" s="13"/>
      <c r="D896" s="16"/>
      <c r="E896" s="16"/>
      <c r="F896" s="19"/>
      <c r="G896" s="20"/>
      <c r="H896" s="24"/>
      <c r="I896" s="25"/>
    </row>
    <row r="897" ht="15.75" customHeight="1">
      <c r="B897" s="13"/>
      <c r="D897" s="16"/>
      <c r="E897" s="16"/>
      <c r="F897" s="19"/>
      <c r="G897" s="20"/>
      <c r="H897" s="24"/>
      <c r="I897" s="25"/>
    </row>
    <row r="898" ht="15.75" customHeight="1">
      <c r="B898" s="13"/>
      <c r="D898" s="16"/>
      <c r="E898" s="16"/>
      <c r="F898" s="19"/>
      <c r="G898" s="20"/>
      <c r="H898" s="24"/>
      <c r="I898" s="25"/>
    </row>
    <row r="899" ht="15.75" customHeight="1">
      <c r="B899" s="13"/>
      <c r="D899" s="16"/>
      <c r="E899" s="16"/>
      <c r="F899" s="19"/>
      <c r="G899" s="20"/>
      <c r="H899" s="24"/>
      <c r="I899" s="25"/>
    </row>
    <row r="900" ht="15.75" customHeight="1">
      <c r="B900" s="13"/>
      <c r="D900" s="16"/>
      <c r="E900" s="16"/>
      <c r="F900" s="19"/>
      <c r="G900" s="20"/>
      <c r="H900" s="24"/>
      <c r="I900" s="25"/>
    </row>
    <row r="901" ht="15.75" customHeight="1">
      <c r="B901" s="13"/>
      <c r="D901" s="16"/>
      <c r="E901" s="16"/>
      <c r="F901" s="19"/>
      <c r="G901" s="20"/>
      <c r="H901" s="24"/>
      <c r="I901" s="25"/>
    </row>
    <row r="902" ht="15.75" customHeight="1">
      <c r="B902" s="13"/>
      <c r="D902" s="16"/>
      <c r="E902" s="16"/>
      <c r="F902" s="19"/>
      <c r="G902" s="20"/>
      <c r="H902" s="24"/>
      <c r="I902" s="25"/>
    </row>
    <row r="903" ht="15.75" customHeight="1">
      <c r="B903" s="13"/>
      <c r="D903" s="16"/>
      <c r="E903" s="16"/>
      <c r="F903" s="19"/>
      <c r="G903" s="20"/>
      <c r="H903" s="24"/>
      <c r="I903" s="25"/>
    </row>
    <row r="904" ht="15.75" customHeight="1">
      <c r="B904" s="13"/>
      <c r="D904" s="16"/>
      <c r="E904" s="16"/>
      <c r="F904" s="19"/>
      <c r="G904" s="20"/>
      <c r="H904" s="24"/>
      <c r="I904" s="25"/>
    </row>
    <row r="905" ht="15.75" customHeight="1">
      <c r="B905" s="13"/>
      <c r="D905" s="16"/>
      <c r="E905" s="16"/>
      <c r="F905" s="19"/>
      <c r="G905" s="20"/>
      <c r="H905" s="24"/>
      <c r="I905" s="25"/>
    </row>
    <row r="906" ht="15.75" customHeight="1">
      <c r="B906" s="13"/>
      <c r="D906" s="16"/>
      <c r="E906" s="16"/>
      <c r="F906" s="19"/>
      <c r="G906" s="20"/>
      <c r="H906" s="24"/>
      <c r="I906" s="25"/>
    </row>
    <row r="907" ht="15.75" customHeight="1">
      <c r="B907" s="13"/>
      <c r="D907" s="16"/>
      <c r="E907" s="16"/>
      <c r="F907" s="19"/>
      <c r="G907" s="20"/>
      <c r="H907" s="24"/>
      <c r="I907" s="25"/>
    </row>
    <row r="908" ht="15.75" customHeight="1">
      <c r="B908" s="13"/>
      <c r="D908" s="16"/>
      <c r="E908" s="16"/>
      <c r="F908" s="19"/>
      <c r="G908" s="20"/>
      <c r="H908" s="24"/>
      <c r="I908" s="25"/>
    </row>
    <row r="909" ht="15.75" customHeight="1">
      <c r="B909" s="13"/>
      <c r="D909" s="16"/>
      <c r="E909" s="16"/>
      <c r="F909" s="19"/>
      <c r="G909" s="20"/>
      <c r="H909" s="24"/>
      <c r="I909" s="25"/>
    </row>
    <row r="910" ht="15.75" customHeight="1">
      <c r="B910" s="13"/>
      <c r="D910" s="16"/>
      <c r="E910" s="16"/>
      <c r="F910" s="19"/>
      <c r="G910" s="20"/>
      <c r="H910" s="24"/>
      <c r="I910" s="25"/>
    </row>
    <row r="911" ht="15.75" customHeight="1">
      <c r="B911" s="13"/>
      <c r="D911" s="16"/>
      <c r="E911" s="16"/>
      <c r="F911" s="19"/>
      <c r="G911" s="20"/>
      <c r="H911" s="24"/>
      <c r="I911" s="25"/>
    </row>
    <row r="912" ht="15.75" customHeight="1">
      <c r="B912" s="13"/>
      <c r="D912" s="16"/>
      <c r="E912" s="16"/>
      <c r="F912" s="19"/>
      <c r="G912" s="20"/>
      <c r="H912" s="24"/>
      <c r="I912" s="25"/>
    </row>
    <row r="913" ht="15.75" customHeight="1">
      <c r="B913" s="13"/>
      <c r="D913" s="16"/>
      <c r="E913" s="16"/>
      <c r="F913" s="19"/>
      <c r="G913" s="20"/>
      <c r="H913" s="24"/>
      <c r="I913" s="25"/>
    </row>
    <row r="914" ht="15.75" customHeight="1">
      <c r="B914" s="13"/>
      <c r="D914" s="16"/>
      <c r="E914" s="16"/>
      <c r="F914" s="19"/>
      <c r="G914" s="20"/>
      <c r="H914" s="24"/>
      <c r="I914" s="25"/>
    </row>
    <row r="915" ht="15.75" customHeight="1">
      <c r="B915" s="13"/>
      <c r="D915" s="16"/>
      <c r="E915" s="16"/>
      <c r="F915" s="19"/>
      <c r="G915" s="20"/>
      <c r="H915" s="24"/>
      <c r="I915" s="25"/>
    </row>
    <row r="916" ht="15.75" customHeight="1">
      <c r="B916" s="13"/>
      <c r="D916" s="16"/>
      <c r="E916" s="16"/>
      <c r="F916" s="19"/>
      <c r="G916" s="20"/>
      <c r="H916" s="24"/>
      <c r="I916" s="25"/>
    </row>
    <row r="917" ht="15.75" customHeight="1">
      <c r="B917" s="13"/>
      <c r="D917" s="16"/>
      <c r="E917" s="16"/>
      <c r="F917" s="19"/>
      <c r="G917" s="20"/>
      <c r="H917" s="24"/>
      <c r="I917" s="25"/>
    </row>
    <row r="918" ht="15.75" customHeight="1">
      <c r="B918" s="13"/>
      <c r="D918" s="16"/>
      <c r="E918" s="16"/>
      <c r="F918" s="19"/>
      <c r="G918" s="20"/>
      <c r="H918" s="24"/>
      <c r="I918" s="25"/>
    </row>
    <row r="919" ht="15.75" customHeight="1">
      <c r="B919" s="13"/>
      <c r="D919" s="16"/>
      <c r="E919" s="16"/>
      <c r="F919" s="19"/>
      <c r="G919" s="20"/>
      <c r="H919" s="24"/>
      <c r="I919" s="25"/>
    </row>
    <row r="920" ht="15.75" customHeight="1">
      <c r="B920" s="13"/>
      <c r="D920" s="16"/>
      <c r="E920" s="16"/>
      <c r="F920" s="19"/>
      <c r="G920" s="20"/>
      <c r="H920" s="24"/>
      <c r="I920" s="25"/>
    </row>
    <row r="921" ht="15.75" customHeight="1">
      <c r="B921" s="13"/>
      <c r="D921" s="16"/>
      <c r="E921" s="16"/>
      <c r="F921" s="19"/>
      <c r="G921" s="20"/>
      <c r="H921" s="24"/>
      <c r="I921" s="25"/>
    </row>
    <row r="922" ht="15.75" customHeight="1">
      <c r="B922" s="13"/>
      <c r="D922" s="16"/>
      <c r="E922" s="16"/>
      <c r="F922" s="19"/>
      <c r="G922" s="20"/>
      <c r="H922" s="24"/>
      <c r="I922" s="25"/>
    </row>
    <row r="923" ht="15.75" customHeight="1">
      <c r="B923" s="13"/>
      <c r="D923" s="16"/>
      <c r="E923" s="16"/>
      <c r="F923" s="19"/>
      <c r="G923" s="20"/>
      <c r="H923" s="24"/>
      <c r="I923" s="25"/>
    </row>
    <row r="924" ht="15.75" customHeight="1">
      <c r="B924" s="13"/>
      <c r="D924" s="16"/>
      <c r="E924" s="16"/>
      <c r="F924" s="19"/>
      <c r="G924" s="20"/>
      <c r="H924" s="24"/>
      <c r="I924" s="25"/>
    </row>
    <row r="925" ht="15.75" customHeight="1">
      <c r="B925" s="13"/>
      <c r="D925" s="16"/>
      <c r="E925" s="16"/>
      <c r="F925" s="19"/>
      <c r="G925" s="20"/>
      <c r="H925" s="24"/>
      <c r="I925" s="25"/>
    </row>
    <row r="926" ht="15.75" customHeight="1">
      <c r="B926" s="13"/>
      <c r="D926" s="16"/>
      <c r="E926" s="16"/>
      <c r="F926" s="19"/>
      <c r="G926" s="20"/>
      <c r="H926" s="24"/>
      <c r="I926" s="25"/>
    </row>
    <row r="927" ht="15.75" customHeight="1">
      <c r="B927" s="13"/>
      <c r="D927" s="16"/>
      <c r="E927" s="16"/>
      <c r="F927" s="19"/>
      <c r="G927" s="20"/>
      <c r="H927" s="24"/>
      <c r="I927" s="25"/>
    </row>
    <row r="928" ht="15.75" customHeight="1">
      <c r="B928" s="13"/>
      <c r="D928" s="16"/>
      <c r="E928" s="16"/>
      <c r="F928" s="19"/>
      <c r="G928" s="20"/>
      <c r="H928" s="24"/>
      <c r="I928" s="25"/>
    </row>
    <row r="929" ht="15.75" customHeight="1">
      <c r="B929" s="13"/>
      <c r="D929" s="16"/>
      <c r="E929" s="16"/>
      <c r="F929" s="19"/>
      <c r="G929" s="20"/>
      <c r="H929" s="24"/>
      <c r="I929" s="25"/>
    </row>
    <row r="930" ht="15.75" customHeight="1">
      <c r="B930" s="13"/>
      <c r="D930" s="16"/>
      <c r="E930" s="16"/>
      <c r="F930" s="19"/>
      <c r="G930" s="20"/>
      <c r="H930" s="24"/>
      <c r="I930" s="25"/>
    </row>
    <row r="931" ht="15.75" customHeight="1">
      <c r="B931" s="13"/>
      <c r="D931" s="16"/>
      <c r="E931" s="16"/>
      <c r="F931" s="19"/>
      <c r="G931" s="20"/>
      <c r="H931" s="24"/>
      <c r="I931" s="25"/>
    </row>
    <row r="932" ht="15.75" customHeight="1">
      <c r="B932" s="13"/>
      <c r="D932" s="16"/>
      <c r="E932" s="16"/>
      <c r="F932" s="19"/>
      <c r="G932" s="20"/>
      <c r="H932" s="24"/>
      <c r="I932" s="25"/>
    </row>
    <row r="933" ht="15.75" customHeight="1">
      <c r="B933" s="13"/>
      <c r="D933" s="16"/>
      <c r="E933" s="16"/>
      <c r="F933" s="19"/>
      <c r="G933" s="20"/>
      <c r="H933" s="24"/>
      <c r="I933" s="25"/>
    </row>
    <row r="934" ht="15.75" customHeight="1">
      <c r="B934" s="13"/>
      <c r="D934" s="16"/>
      <c r="E934" s="16"/>
      <c r="F934" s="19"/>
      <c r="G934" s="20"/>
      <c r="H934" s="24"/>
      <c r="I934" s="25"/>
    </row>
    <row r="935" ht="15.75" customHeight="1">
      <c r="B935" s="13"/>
      <c r="D935" s="16"/>
      <c r="E935" s="16"/>
      <c r="F935" s="19"/>
      <c r="G935" s="20"/>
      <c r="H935" s="24"/>
      <c r="I935" s="25"/>
    </row>
    <row r="936" ht="15.75" customHeight="1">
      <c r="B936" s="13"/>
      <c r="D936" s="16"/>
      <c r="E936" s="16"/>
      <c r="F936" s="19"/>
      <c r="G936" s="20"/>
      <c r="H936" s="24"/>
      <c r="I936" s="25"/>
    </row>
    <row r="937" ht="15.75" customHeight="1">
      <c r="B937" s="13"/>
      <c r="D937" s="16"/>
      <c r="E937" s="16"/>
      <c r="F937" s="19"/>
      <c r="G937" s="20"/>
      <c r="H937" s="24"/>
      <c r="I937" s="25"/>
    </row>
    <row r="938" ht="15.75" customHeight="1">
      <c r="B938" s="13"/>
      <c r="D938" s="16"/>
      <c r="E938" s="16"/>
      <c r="F938" s="19"/>
      <c r="G938" s="20"/>
      <c r="H938" s="24"/>
      <c r="I938" s="25"/>
    </row>
    <row r="939" ht="15.75" customHeight="1">
      <c r="B939" s="13"/>
      <c r="D939" s="16"/>
      <c r="E939" s="16"/>
      <c r="F939" s="19"/>
      <c r="G939" s="20"/>
      <c r="H939" s="24"/>
      <c r="I939" s="25"/>
    </row>
    <row r="940" ht="15.75" customHeight="1">
      <c r="B940" s="13"/>
      <c r="D940" s="16"/>
      <c r="E940" s="16"/>
      <c r="F940" s="19"/>
      <c r="G940" s="20"/>
      <c r="H940" s="24"/>
      <c r="I940" s="25"/>
    </row>
    <row r="941" ht="15.75" customHeight="1">
      <c r="B941" s="13"/>
      <c r="D941" s="16"/>
      <c r="E941" s="16"/>
      <c r="F941" s="19"/>
      <c r="G941" s="20"/>
      <c r="H941" s="24"/>
      <c r="I941" s="25"/>
    </row>
    <row r="942" ht="15.75" customHeight="1">
      <c r="B942" s="13"/>
      <c r="D942" s="16"/>
      <c r="E942" s="16"/>
      <c r="F942" s="19"/>
      <c r="G942" s="20"/>
      <c r="H942" s="24"/>
      <c r="I942" s="25"/>
    </row>
    <row r="943" ht="15.75" customHeight="1">
      <c r="B943" s="13"/>
      <c r="D943" s="16"/>
      <c r="E943" s="16"/>
      <c r="F943" s="19"/>
      <c r="G943" s="20"/>
      <c r="H943" s="24"/>
      <c r="I943" s="25"/>
    </row>
    <row r="944" ht="15.75" customHeight="1">
      <c r="B944" s="13"/>
      <c r="D944" s="16"/>
      <c r="E944" s="16"/>
      <c r="F944" s="19"/>
      <c r="G944" s="20"/>
      <c r="H944" s="24"/>
      <c r="I944" s="25"/>
    </row>
    <row r="945" ht="15.75" customHeight="1">
      <c r="B945" s="13"/>
      <c r="D945" s="16"/>
      <c r="E945" s="16"/>
      <c r="F945" s="19"/>
      <c r="G945" s="20"/>
      <c r="H945" s="24"/>
      <c r="I945" s="25"/>
    </row>
    <row r="946" ht="15.75" customHeight="1">
      <c r="B946" s="13"/>
      <c r="D946" s="16"/>
      <c r="E946" s="16"/>
      <c r="F946" s="19"/>
      <c r="G946" s="20"/>
      <c r="H946" s="24"/>
      <c r="I946" s="25"/>
    </row>
    <row r="947" ht="15.75" customHeight="1">
      <c r="B947" s="13"/>
      <c r="D947" s="16"/>
      <c r="E947" s="16"/>
      <c r="F947" s="19"/>
      <c r="G947" s="20"/>
      <c r="H947" s="24"/>
      <c r="I947" s="25"/>
    </row>
    <row r="948" ht="15.75" customHeight="1">
      <c r="B948" s="13"/>
      <c r="D948" s="16"/>
      <c r="E948" s="16"/>
      <c r="F948" s="19"/>
      <c r="G948" s="20"/>
      <c r="H948" s="24"/>
      <c r="I948" s="25"/>
    </row>
    <row r="949" ht="15.75" customHeight="1">
      <c r="B949" s="13"/>
      <c r="D949" s="16"/>
      <c r="E949" s="16"/>
      <c r="F949" s="19"/>
      <c r="G949" s="20"/>
      <c r="H949" s="24"/>
      <c r="I949" s="25"/>
    </row>
    <row r="950" ht="15.75" customHeight="1">
      <c r="B950" s="13"/>
      <c r="D950" s="16"/>
      <c r="E950" s="16"/>
      <c r="F950" s="19"/>
      <c r="G950" s="20"/>
      <c r="H950" s="24"/>
      <c r="I950" s="25"/>
    </row>
    <row r="951" ht="15.75" customHeight="1">
      <c r="B951" s="13"/>
      <c r="D951" s="16"/>
      <c r="E951" s="16"/>
      <c r="F951" s="19"/>
      <c r="G951" s="20"/>
      <c r="H951" s="24"/>
      <c r="I951" s="25"/>
    </row>
    <row r="952" ht="15.75" customHeight="1">
      <c r="B952" s="13"/>
      <c r="D952" s="16"/>
      <c r="E952" s="16"/>
      <c r="F952" s="19"/>
      <c r="G952" s="20"/>
      <c r="H952" s="24"/>
      <c r="I952" s="25"/>
    </row>
    <row r="953" ht="15.75" customHeight="1">
      <c r="B953" s="13"/>
      <c r="D953" s="16"/>
      <c r="E953" s="16"/>
      <c r="F953" s="19"/>
      <c r="G953" s="20"/>
      <c r="H953" s="24"/>
      <c r="I953" s="25"/>
    </row>
    <row r="954" ht="15.75" customHeight="1">
      <c r="B954" s="13"/>
      <c r="D954" s="16"/>
      <c r="E954" s="16"/>
      <c r="F954" s="19"/>
      <c r="G954" s="20"/>
      <c r="H954" s="24"/>
      <c r="I954" s="25"/>
    </row>
    <row r="955" ht="15.75" customHeight="1">
      <c r="B955" s="13"/>
      <c r="D955" s="16"/>
      <c r="E955" s="16"/>
      <c r="F955" s="19"/>
      <c r="G955" s="20"/>
      <c r="H955" s="24"/>
      <c r="I955" s="25"/>
    </row>
    <row r="956" ht="15.75" customHeight="1">
      <c r="B956" s="13"/>
      <c r="D956" s="16"/>
      <c r="E956" s="16"/>
      <c r="F956" s="19"/>
      <c r="G956" s="20"/>
      <c r="H956" s="24"/>
      <c r="I956" s="25"/>
    </row>
    <row r="957" ht="15.75" customHeight="1">
      <c r="B957" s="13"/>
      <c r="D957" s="16"/>
      <c r="E957" s="16"/>
      <c r="F957" s="19"/>
      <c r="G957" s="20"/>
      <c r="H957" s="24"/>
      <c r="I957" s="25"/>
    </row>
    <row r="958" ht="15.75" customHeight="1">
      <c r="B958" s="13"/>
      <c r="D958" s="16"/>
      <c r="E958" s="16"/>
      <c r="F958" s="19"/>
      <c r="G958" s="20"/>
      <c r="H958" s="24"/>
      <c r="I958" s="25"/>
    </row>
    <row r="959" ht="15.75" customHeight="1">
      <c r="B959" s="13"/>
      <c r="D959" s="16"/>
      <c r="E959" s="16"/>
      <c r="F959" s="19"/>
      <c r="G959" s="20"/>
      <c r="H959" s="24"/>
      <c r="I959" s="25"/>
    </row>
    <row r="960" ht="15.75" customHeight="1">
      <c r="B960" s="13"/>
      <c r="D960" s="16"/>
      <c r="E960" s="16"/>
      <c r="F960" s="19"/>
      <c r="G960" s="20"/>
      <c r="H960" s="24"/>
      <c r="I960" s="25"/>
    </row>
    <row r="961" ht="15.75" customHeight="1">
      <c r="B961" s="13"/>
      <c r="D961" s="16"/>
      <c r="E961" s="16"/>
      <c r="F961" s="19"/>
      <c r="G961" s="20"/>
      <c r="H961" s="24"/>
      <c r="I961" s="25"/>
    </row>
    <row r="962" ht="15.75" customHeight="1">
      <c r="B962" s="13"/>
      <c r="D962" s="16"/>
      <c r="E962" s="16"/>
      <c r="F962" s="19"/>
      <c r="G962" s="20"/>
      <c r="H962" s="24"/>
      <c r="I962" s="25"/>
    </row>
    <row r="963" ht="15.75" customHeight="1">
      <c r="B963" s="13"/>
      <c r="D963" s="16"/>
      <c r="E963" s="16"/>
      <c r="F963" s="19"/>
      <c r="G963" s="20"/>
      <c r="H963" s="24"/>
      <c r="I963" s="25"/>
    </row>
    <row r="964" ht="15.75" customHeight="1">
      <c r="B964" s="13"/>
      <c r="D964" s="16"/>
      <c r="E964" s="16"/>
      <c r="F964" s="19"/>
      <c r="G964" s="20"/>
      <c r="H964" s="24"/>
      <c r="I964" s="25"/>
    </row>
    <row r="965" ht="15.75" customHeight="1">
      <c r="B965" s="13"/>
      <c r="D965" s="16"/>
      <c r="E965" s="16"/>
      <c r="F965" s="19"/>
      <c r="G965" s="20"/>
      <c r="H965" s="24"/>
      <c r="I965" s="25"/>
    </row>
    <row r="966" ht="15.75" customHeight="1">
      <c r="B966" s="13"/>
      <c r="D966" s="16"/>
      <c r="E966" s="16"/>
      <c r="F966" s="19"/>
      <c r="G966" s="20"/>
      <c r="H966" s="24"/>
      <c r="I966" s="25"/>
    </row>
    <row r="967" ht="15.75" customHeight="1">
      <c r="B967" s="13"/>
      <c r="D967" s="16"/>
      <c r="E967" s="16"/>
      <c r="F967" s="19"/>
      <c r="G967" s="20"/>
      <c r="H967" s="24"/>
      <c r="I967" s="25"/>
    </row>
    <row r="968" ht="15.75" customHeight="1">
      <c r="B968" s="13"/>
      <c r="D968" s="16"/>
      <c r="E968" s="16"/>
      <c r="F968" s="19"/>
      <c r="G968" s="20"/>
      <c r="H968" s="24"/>
      <c r="I968" s="25"/>
    </row>
    <row r="969" ht="15.75" customHeight="1">
      <c r="B969" s="13"/>
      <c r="D969" s="16"/>
      <c r="E969" s="16"/>
      <c r="F969" s="19"/>
      <c r="G969" s="20"/>
      <c r="H969" s="24"/>
      <c r="I969" s="25"/>
    </row>
    <row r="970" ht="15.75" customHeight="1">
      <c r="B970" s="13"/>
      <c r="D970" s="16"/>
      <c r="E970" s="16"/>
      <c r="F970" s="19"/>
      <c r="G970" s="20"/>
      <c r="H970" s="24"/>
      <c r="I970" s="25"/>
    </row>
    <row r="971" ht="15.75" customHeight="1">
      <c r="B971" s="13"/>
      <c r="D971" s="16"/>
      <c r="E971" s="16"/>
      <c r="F971" s="19"/>
      <c r="G971" s="20"/>
      <c r="H971" s="24"/>
      <c r="I971" s="25"/>
    </row>
    <row r="972" ht="15.75" customHeight="1">
      <c r="B972" s="13"/>
      <c r="D972" s="16"/>
      <c r="E972" s="16"/>
      <c r="F972" s="19"/>
      <c r="G972" s="20"/>
      <c r="H972" s="24"/>
      <c r="I972" s="25"/>
    </row>
    <row r="973" ht="15.75" customHeight="1">
      <c r="B973" s="13"/>
      <c r="D973" s="16"/>
      <c r="E973" s="16"/>
      <c r="F973" s="19"/>
      <c r="G973" s="20"/>
      <c r="H973" s="24"/>
      <c r="I973" s="25"/>
    </row>
    <row r="974" ht="15.75" customHeight="1">
      <c r="B974" s="13"/>
      <c r="D974" s="16"/>
      <c r="E974" s="16"/>
      <c r="F974" s="19"/>
      <c r="G974" s="20"/>
      <c r="H974" s="24"/>
      <c r="I974" s="25"/>
    </row>
    <row r="975" ht="15.75" customHeight="1">
      <c r="B975" s="13"/>
      <c r="D975" s="16"/>
      <c r="E975" s="16"/>
      <c r="F975" s="19"/>
      <c r="G975" s="20"/>
      <c r="H975" s="24"/>
      <c r="I975" s="25"/>
    </row>
    <row r="976" ht="15.75" customHeight="1">
      <c r="B976" s="13"/>
      <c r="D976" s="16"/>
      <c r="E976" s="16"/>
      <c r="F976" s="19"/>
      <c r="G976" s="20"/>
      <c r="H976" s="24"/>
      <c r="I976" s="25"/>
    </row>
    <row r="977" ht="15.75" customHeight="1">
      <c r="B977" s="13"/>
      <c r="D977" s="16"/>
      <c r="E977" s="16"/>
      <c r="F977" s="19"/>
      <c r="G977" s="20"/>
      <c r="H977" s="24"/>
      <c r="I977" s="25"/>
    </row>
    <row r="978" ht="15.75" customHeight="1">
      <c r="B978" s="13"/>
      <c r="D978" s="16"/>
      <c r="E978" s="16"/>
      <c r="F978" s="19"/>
      <c r="G978" s="20"/>
      <c r="H978" s="24"/>
      <c r="I978" s="25"/>
    </row>
    <row r="979" ht="15.75" customHeight="1">
      <c r="B979" s="13"/>
      <c r="D979" s="16"/>
      <c r="E979" s="16"/>
      <c r="F979" s="19"/>
      <c r="G979" s="20"/>
      <c r="H979" s="24"/>
      <c r="I979" s="25"/>
    </row>
    <row r="980" ht="15.75" customHeight="1">
      <c r="B980" s="13"/>
      <c r="D980" s="16"/>
      <c r="E980" s="16"/>
      <c r="F980" s="19"/>
      <c r="G980" s="20"/>
      <c r="H980" s="24"/>
      <c r="I980" s="25"/>
    </row>
    <row r="981" ht="15.75" customHeight="1">
      <c r="B981" s="13"/>
      <c r="D981" s="16"/>
      <c r="E981" s="16"/>
      <c r="F981" s="19"/>
      <c r="G981" s="20"/>
      <c r="H981" s="24"/>
      <c r="I981" s="25"/>
    </row>
    <row r="982" ht="15.75" customHeight="1">
      <c r="B982" s="13"/>
      <c r="D982" s="16"/>
      <c r="E982" s="16"/>
      <c r="F982" s="19"/>
      <c r="G982" s="20"/>
      <c r="H982" s="24"/>
      <c r="I982" s="25"/>
    </row>
    <row r="983" ht="15.75" customHeight="1">
      <c r="B983" s="13"/>
      <c r="D983" s="16"/>
      <c r="E983" s="16"/>
      <c r="F983" s="19"/>
      <c r="G983" s="20"/>
      <c r="H983" s="24"/>
      <c r="I983" s="25"/>
    </row>
    <row r="984" ht="15.75" customHeight="1">
      <c r="B984" s="13"/>
      <c r="D984" s="16"/>
      <c r="E984" s="16"/>
      <c r="F984" s="19"/>
      <c r="G984" s="20"/>
      <c r="H984" s="24"/>
      <c r="I984" s="25"/>
    </row>
    <row r="985" ht="15.75" customHeight="1">
      <c r="B985" s="13"/>
      <c r="D985" s="16"/>
      <c r="E985" s="16"/>
      <c r="F985" s="19"/>
      <c r="G985" s="20"/>
      <c r="H985" s="24"/>
      <c r="I985" s="25"/>
    </row>
    <row r="986" ht="15.75" customHeight="1">
      <c r="B986" s="13"/>
      <c r="D986" s="16"/>
      <c r="E986" s="16"/>
      <c r="F986" s="19"/>
      <c r="G986" s="20"/>
      <c r="H986" s="24"/>
      <c r="I986" s="25"/>
    </row>
    <row r="987" ht="15.75" customHeight="1">
      <c r="B987" s="13"/>
      <c r="D987" s="16"/>
      <c r="E987" s="16"/>
      <c r="F987" s="19"/>
      <c r="G987" s="20"/>
      <c r="H987" s="24"/>
      <c r="I987" s="25"/>
    </row>
    <row r="988" ht="15.75" customHeight="1">
      <c r="B988" s="13"/>
      <c r="D988" s="16"/>
      <c r="E988" s="16"/>
      <c r="F988" s="19"/>
      <c r="G988" s="20"/>
      <c r="H988" s="24"/>
      <c r="I988" s="25"/>
    </row>
    <row r="989" ht="15.75" customHeight="1">
      <c r="B989" s="13"/>
      <c r="D989" s="16"/>
      <c r="E989" s="16"/>
      <c r="F989" s="19"/>
      <c r="G989" s="20"/>
      <c r="H989" s="24"/>
      <c r="I989" s="25"/>
    </row>
    <row r="990" ht="15.75" customHeight="1">
      <c r="B990" s="13"/>
      <c r="D990" s="16"/>
      <c r="E990" s="16"/>
      <c r="F990" s="19"/>
      <c r="G990" s="20"/>
      <c r="H990" s="24"/>
      <c r="I990" s="25"/>
    </row>
    <row r="991" ht="15.75" customHeight="1">
      <c r="B991" s="13"/>
      <c r="D991" s="16"/>
      <c r="E991" s="16"/>
      <c r="F991" s="19"/>
      <c r="G991" s="20"/>
      <c r="H991" s="24"/>
      <c r="I991" s="25"/>
    </row>
    <row r="992" ht="15.75" customHeight="1">
      <c r="B992" s="13"/>
      <c r="D992" s="16"/>
      <c r="E992" s="16"/>
      <c r="F992" s="19"/>
      <c r="G992" s="20"/>
      <c r="H992" s="24"/>
      <c r="I992" s="25"/>
    </row>
    <row r="993" ht="15.75" customHeight="1">
      <c r="B993" s="13"/>
      <c r="D993" s="16"/>
      <c r="E993" s="16"/>
      <c r="F993" s="19"/>
      <c r="G993" s="20"/>
      <c r="H993" s="24"/>
      <c r="I993" s="25"/>
    </row>
    <row r="994" ht="15.75" customHeight="1">
      <c r="B994" s="13"/>
      <c r="D994" s="16"/>
      <c r="E994" s="16"/>
      <c r="F994" s="19"/>
      <c r="G994" s="20"/>
      <c r="H994" s="24"/>
      <c r="I994" s="25"/>
    </row>
    <row r="995" ht="15.75" customHeight="1">
      <c r="B995" s="13"/>
      <c r="D995" s="16"/>
      <c r="E995" s="16"/>
      <c r="F995" s="19"/>
      <c r="G995" s="20"/>
      <c r="H995" s="24"/>
      <c r="I995" s="25"/>
    </row>
    <row r="996" ht="15.75" customHeight="1">
      <c r="B996" s="13"/>
      <c r="D996" s="16"/>
      <c r="E996" s="16"/>
      <c r="F996" s="19"/>
      <c r="G996" s="20"/>
      <c r="H996" s="24"/>
      <c r="I996" s="25"/>
    </row>
    <row r="997" ht="15.75" customHeight="1">
      <c r="B997" s="13"/>
      <c r="D997" s="16"/>
      <c r="E997" s="16"/>
      <c r="F997" s="19"/>
      <c r="G997" s="20"/>
      <c r="H997" s="24"/>
      <c r="I997" s="25"/>
    </row>
    <row r="998" ht="15.75" customHeight="1">
      <c r="B998" s="13"/>
      <c r="D998" s="16"/>
      <c r="E998" s="16"/>
      <c r="F998" s="19"/>
      <c r="G998" s="20"/>
      <c r="H998" s="24"/>
      <c r="I998" s="25"/>
    </row>
    <row r="999" ht="15.75" customHeight="1">
      <c r="B999" s="13"/>
      <c r="D999" s="16"/>
      <c r="E999" s="16"/>
      <c r="F999" s="19"/>
      <c r="G999" s="20"/>
      <c r="H999" s="24"/>
      <c r="I999" s="25"/>
    </row>
    <row r="1000" ht="15.75" customHeight="1">
      <c r="B1000" s="13"/>
      <c r="D1000" s="16"/>
      <c r="E1000" s="16"/>
      <c r="F1000" s="19"/>
      <c r="G1000" s="20"/>
      <c r="H1000" s="24"/>
      <c r="I1000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2025-11-08T19:24:35Z</dcterms:created>
  <dc:creator>openpyxl</dc:creator>
</cp:coreProperties>
</file>